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Board Inventory" state="visible" r:id="rId5"/>
    <sheet sheetId="3" name="Interface Options" state="visible" r:id="rId6"/>
    <sheet sheetId="4" name="WS Array Calculator" state="visible" r:id="rId7"/>
    <sheet sheetId="5" name="Precision &amp; Tiling" state="visible" r:id="rId8"/>
    <sheet sheetId="6" name="Data Movement" state="visible" r:id="rId9"/>
    <sheet sheetId="7" name="Sources &amp; Assumptions" state="visible" r:id="rId10"/>
  </sheets>
  <definedNames>
    <definedName name="_xlnm._FilterDatabase">'Sources &amp; Assumptions'!$A$3:$E$12</definedName>
  </definedName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B8" authorId="0">
      <text/>
    </comment>
    <comment ref="B20" authorId="0">
      <text/>
    </comment>
    <comment ref="B25" authorId="0">
      <text/>
    </comment>
  </commentList>
</comments>
</file>

<file path=xl/sharedStrings.xml><?xml version="1.0" encoding="utf-8"?>
<sst xmlns="http://schemas.openxmlformats.org/spreadsheetml/2006/main" count="592" uniqueCount="518">
  <si>
    <t>ZedBoard Resource, Interface &amp; Tiling Workbook</t>
  </si>
  <si>
    <t>Working engineering worksheet for a demonstrator systolic matrix-multiplication accelerator. Values are a planning baseline, not a final architecture freeze.</t>
  </si>
  <si>
    <t>Purpose</t>
  </si>
  <si>
    <t>Connect the XC7Z020 board inventory to a provisional weight-stationary (WS) systolic-array concept, then estimate buffering and tiled workload sizes.</t>
  </si>
  <si>
    <t>Fixed platform</t>
  </si>
  <si>
    <t>Digilent ZedBoard with Xilinx Zynq-7000 XC7Z020-1CLG484 (device resources are silicon totals; some are used by PS/clocking/interconnect and implementation overhead).</t>
  </si>
  <si>
    <t>Provisional demo only</t>
  </si>
  <si>
    <t>4×4 PE array; signed INT8 operands; INT32 accumulators; bare-metal C on PS; DDR3 for full matrices; BRAM/FIFOs for PL staging; AXI4-Lite control; DMA/streaming considered for bulk movement. These choices remain changeable.</t>
  </si>
  <si>
    <t>Do not confuse</t>
  </si>
  <si>
    <t>512 MB DDR3 is external board memory attached to the PS memory controller. BRAM is on-chip PL memory. DDR capacity does not mean all matrices should be staged into BRAM.</t>
  </si>
  <si>
    <t>Tiling definition</t>
  </si>
  <si>
    <t>For C[M×N] = A[M×K] × B[K×N], tile dimensions are M_t, N_t, K_t. This workbook calculates raw buffer bytes for A, B, and C tiles; it does not yet model exact WS preload/drain schedule or double-buffering overhead.</t>
  </si>
  <si>
    <t>How to use</t>
  </si>
  <si>
    <t>1) Review Board Inventory. 2) Compare Interface Options. 3) Change the blue input cells on WS Array Calculator. 4) Inspect Precision &amp; Tiling and Data Movement. 5) Replace assumptions with synthesis/implementation and measured DMA results.</t>
  </si>
  <si>
    <t>Interpretation caution</t>
  </si>
  <si>
    <t>A mathematical fit in BRAM/DSP does not prove timing closure or performance. Use Vivado reports for LUT/FF/DSP/BRAM and actual timing; validate throughput with an end-to-end test.</t>
  </si>
  <si>
    <t>Status labels</t>
  </si>
  <si>
    <t>Official spec = documented board/device value. Derived = arithmetic from stated values. Assumption = provisional design input. To verify = depends on Vivado configuration, IP version, or detailed architecture.</t>
  </si>
  <si>
    <t>Board &amp; Device Resource Inventory</t>
  </si>
  <si>
    <t>Separate board-level memory/peripherals from FPGA fabric resources. Official references are linked in Sources &amp; Assumptions.</t>
  </si>
  <si>
    <t>Category</t>
  </si>
  <si>
    <t>Resource</t>
  </si>
  <si>
    <t>Documented value</t>
  </si>
  <si>
    <t>Units / detail</t>
  </si>
  <si>
    <t>Where it lives / role</t>
  </si>
  <si>
    <t>Relevance to WS systolic accelerator</t>
  </si>
  <si>
    <t>Status / notes</t>
  </si>
  <si>
    <t>SoC</t>
  </si>
  <si>
    <t>Device</t>
  </si>
  <si>
    <t>XC7Z020-1CLG484C</t>
  </si>
  <si>
    <t>Zynq-7000 AP SoC</t>
  </si>
  <si>
    <t>PS + PL on one device</t>
  </si>
  <si>
    <t>Defines target and package/speed grade; verify exact board silicon marking</t>
  </si>
  <si>
    <t>Official board guide</t>
  </si>
  <si>
    <t>PS compute</t>
  </si>
  <si>
    <t>CPU</t>
  </si>
  <si>
    <t>Dual-core ARM Cortex-A9</t>
  </si>
  <si>
    <t>2 cores</t>
  </si>
  <si>
    <t>Processing System</t>
  </si>
  <si>
    <t>Bare-metal C: setup, test vectors, register programming, completion polling, reference calculation</t>
  </si>
  <si>
    <t>Official board guide / DS190</t>
  </si>
  <si>
    <t>PL fabric</t>
  </si>
  <si>
    <t>Logic cells</t>
  </si>
  <si>
    <t>~85,000</t>
  </si>
  <si>
    <t>logic cells</t>
  </si>
  <si>
    <t>Programmable Logic</t>
  </si>
  <si>
    <t>High-level device size metric; not a direct LUT budget</t>
  </si>
  <si>
    <t>Official DS190 / board guide</t>
  </si>
  <si>
    <t>Look-up tables</t>
  </si>
  <si>
    <t>53,200</t>
  </si>
  <si>
    <t>LUTs</t>
  </si>
  <si>
    <t>Control logic, address/control, muxing, arithmetic if DSP mapping insufficient</t>
  </si>
  <si>
    <t>XC7Z020 device total; implementation overhead consumes some</t>
  </si>
  <si>
    <t>Flip-flops</t>
  </si>
  <si>
    <t>106,400</t>
  </si>
  <si>
    <t>FFs</t>
  </si>
  <si>
    <t>Pipeline registers, PE state, control, stream staging</t>
  </si>
  <si>
    <t>XC7Z020 device total</t>
  </si>
  <si>
    <t>PL arithmetic</t>
  </si>
  <si>
    <t>DSP slices</t>
  </si>
  <si>
    <t>220</t>
  </si>
  <si>
    <t>DSP48E1-class slices</t>
  </si>
  <si>
    <t>Potential mapping for multiply/accumulate; INT8 packing and synthesis mapping must be tested</t>
  </si>
  <si>
    <t>Not equivalent to 220 INT8 MACs automatically</t>
  </si>
  <si>
    <t>PL memory</t>
  </si>
  <si>
    <t>Block RAM</t>
  </si>
  <si>
    <t>140</t>
  </si>
  <si>
    <t>36-Kb blocks; ~4.9 Mb nominal raw capacity</t>
  </si>
  <si>
    <t>Tile buffers, FIFOs, resident weights, partial sums; account for width/depth fragmentation and ports</t>
  </si>
  <si>
    <t>Device total; actual usable capacity depends on mapping</t>
  </si>
  <si>
    <t>PS memory</t>
  </si>
  <si>
    <t>DDR3</t>
  </si>
  <si>
    <t>512 MB</t>
  </si>
  <si>
    <t>32-bit external DDR3 interface</t>
  </si>
  <si>
    <t>Board memory connected to PS hard memory controller</t>
  </si>
  <si>
    <t>Full matrices and software buffers; PL reaches it through PS-PL AXI route/DMA or another master</t>
  </si>
  <si>
    <t>Official ZedBoard guide</t>
  </si>
  <si>
    <t>OCM</t>
  </si>
  <si>
    <t>256 KB</t>
  </si>
  <si>
    <t>on-chip memory in PS</t>
  </si>
  <si>
    <t>Small low-latency software/data regions; not a replacement for PL BRAM</t>
  </si>
  <si>
    <t>Device-level PS resource</t>
  </si>
  <si>
    <t>Nonvolatile</t>
  </si>
  <si>
    <t>QSPI flash</t>
  </si>
  <si>
    <t>256 Mb = 32 MB</t>
  </si>
  <si>
    <t>board flash</t>
  </si>
  <si>
    <t>Board storage/configuration</t>
  </si>
  <si>
    <t>Boot image or persistent data; not a high-throughput working matrix buffer</t>
  </si>
  <si>
    <t>Clock</t>
  </si>
  <si>
    <t>PS oscillator</t>
  </si>
  <si>
    <t>33.333 MHz</t>
  </si>
  <si>
    <t>reference input</t>
  </si>
  <si>
    <t>PS clock source</t>
  </si>
  <si>
    <t>PS generates PL clocks using clocking infrastructure</t>
  </si>
  <si>
    <t>Board oscillator, not CPU clock</t>
  </si>
  <si>
    <t>PL oscillator</t>
  </si>
  <si>
    <t>100 MHz</t>
  </si>
  <si>
    <t>reference input to PL clock input</t>
  </si>
  <si>
    <t>Board clock source</t>
  </si>
  <si>
    <t>Possible base clock source; not guaranteed maximum accelerator frequency</t>
  </si>
  <si>
    <t>Actual fmax depends on timing closure</t>
  </si>
  <si>
    <t>PS-PL</t>
  </si>
  <si>
    <t>HP interfaces</t>
  </si>
  <si>
    <t>4 ports</t>
  </si>
  <si>
    <t>configurable 32/64-bit AXI; see TRM/device revision</t>
  </si>
  <si>
    <t>PS memory subsystem</t>
  </si>
  <si>
    <t>Candidate PL-master path for DMA to DDR/OCM</t>
  </si>
  <si>
    <t>Exact configuration selected in Vivado</t>
  </si>
  <si>
    <t>ACP interface</t>
  </si>
  <si>
    <t>1 port</t>
  </si>
  <si>
    <t>64-bit coherent access path</t>
  </si>
  <si>
    <t>PS/PL memory subsystem</t>
  </si>
  <si>
    <t>Alternative coherent PL access; may simplify certain coherency cases but is not automatically the best DMA path</t>
  </si>
  <si>
    <t>Architecture decision pending</t>
  </si>
  <si>
    <t>GP AXI interfaces</t>
  </si>
  <si>
    <t>2 master + 2 slave, 32-bit class</t>
  </si>
  <si>
    <t>PS-PL control/general-purpose interfaces</t>
  </si>
  <si>
    <t>PS/PL interconnect</t>
  </si>
  <si>
    <t>Often suitable for control and lower-bandwidth transactions; AXI-Lite peripheral commonly sits behind PS master GP path</t>
  </si>
  <si>
    <t>Confirm selected Zynq configuration</t>
  </si>
  <si>
    <t>Board I/O</t>
  </si>
  <si>
    <t>Ethernet</t>
  </si>
  <si>
    <t>10/100/1000 Ethernet</t>
  </si>
  <si>
    <t>board PHY</t>
  </si>
  <si>
    <t>PS/board peripheral</t>
  </si>
  <si>
    <t>Optional host interface for tests; not required for compute datapath</t>
  </si>
  <si>
    <t>USB OTG</t>
  </si>
  <si>
    <t>USB 2.0</t>
  </si>
  <si>
    <t>board peripheral</t>
  </si>
  <si>
    <t>Optional data/host path; not core accelerator path</t>
  </si>
  <si>
    <t>SD card</t>
  </si>
  <si>
    <t>SD interface</t>
  </si>
  <si>
    <t>board slot</t>
  </si>
  <si>
    <t>PS peripheral</t>
  </si>
  <si>
    <t>Can load test vectors/firmware; not accelerator local memory</t>
  </si>
  <si>
    <t>Expansion</t>
  </si>
  <si>
    <t>4 PL Pmod + 1 PS Pmod; FMC-LPC; AMS</t>
  </si>
  <si>
    <t>headers/connectors</t>
  </si>
  <si>
    <t>Optional instrumentation or external I/O; not required for internal matrix compute</t>
  </si>
  <si>
    <t>Check pin constraints/electrical limits before use</t>
  </si>
  <si>
    <t>User GPIO</t>
  </si>
  <si>
    <t>8 PL LEDs, 8 switches, 5 PL buttons; PS LED/buttons also listed</t>
  </si>
  <si>
    <t>board controls</t>
  </si>
  <si>
    <t>PL and PS I/O</t>
  </si>
  <si>
    <t>Useful for basic status/debug only</t>
  </si>
  <si>
    <t>PS–PL Communication &amp; Data Movement</t>
  </si>
  <si>
    <t>Compare the main options before choosing the final path. For the demo, control and bulk-data paths should be kept conceptually separate.</t>
  </si>
  <si>
    <t>Interface / mechanism</t>
  </si>
  <si>
    <t>Typical direction</t>
  </si>
  <si>
    <t>Good fit for demo?</t>
  </si>
  <si>
    <t>Advantages</t>
  </si>
  <si>
    <t>Trade-offs / risks</t>
  </si>
  <si>
    <t>Decision status</t>
  </si>
  <si>
    <t>AXI4-Lite control registers</t>
  </si>
  <si>
    <t>PS master → PL peripheral</t>
  </si>
  <si>
    <t>Write M/N/K, start, status, mode; read completion/error</t>
  </si>
  <si>
    <t>Yes—recommended for control</t>
  </si>
  <si>
    <t>Simple register programming from bare-metal C; easy to debug</t>
  </si>
  <si>
    <t>Not intended as the efficient bulk path for large matrices</t>
  </si>
  <si>
    <t>Provisional</t>
  </si>
  <si>
    <t>AXI DMA MM2S</t>
  </si>
  <si>
    <t>DDR → DMA → AXI4-Stream → PL</t>
  </si>
  <si>
    <t>Read input bytes/words from DDR and emit stream</t>
  </si>
  <si>
    <t>Likely yes for integrated demo</t>
  </si>
  <si>
    <t>Decouples bulk transfer from CPU; supports bursts</t>
  </si>
  <si>
    <t>Requires correct addresses, length, stream framing, alignment and cache maintenance</t>
  </si>
  <si>
    <t>To implement/verify</t>
  </si>
  <si>
    <t>AXI DMA S2MM</t>
  </si>
  <si>
    <t>PL AXI4-Stream → DMA → DDR</t>
  </si>
  <si>
    <t>Write output stream to DDR</t>
  </si>
  <si>
    <t>Bulk output transfer without CPU copying each word</t>
  </si>
  <si>
    <t>Need output length/framing and completion ordering to be correct</t>
  </si>
  <si>
    <t>AXI4-Stream</t>
  </si>
  <si>
    <t>Producer → consumer</t>
  </si>
  <si>
    <t>High-throughput streaming between DMA/FIFO/core</t>
  </si>
  <si>
    <t>Yes with DMA path</t>
  </si>
  <si>
    <t>Simple valid/ready flow control; backpressure supported</t>
  </si>
  <si>
    <t>Need define tvalid/tready/tlast/tkeep use, packet/tile boundaries and stalls</t>
  </si>
  <si>
    <t>Protocol to specify</t>
  </si>
  <si>
    <t>PS HP0–HP3</t>
  </si>
  <si>
    <t>PL AXI master → PS memory subsystem → DDR/OCM</t>
  </si>
  <si>
    <t>High-throughput PL memory access path</t>
  </si>
  <si>
    <t>Candidate for DMA memory-mapped side</t>
  </si>
  <si>
    <t>Dedicated buffered high-performance memory access</t>
  </si>
  <si>
    <t>HP width/configuration, interconnect arbitration and DDR contention affect measured bandwidth</t>
  </si>
  <si>
    <t>Select in Vivado</t>
  </si>
  <si>
    <t>PS GP AXI</t>
  </si>
  <si>
    <t>Typically PS → PL, plus configured return paths</t>
  </si>
  <si>
    <t>General-purpose PS-PL AXI transactions</t>
  </si>
  <si>
    <t>Useful for control path</t>
  </si>
  <si>
    <t>Straightforward peripheral access</t>
  </si>
  <si>
    <t>32-bit class; not preferred as bulk high-throughput DMA path</t>
  </si>
  <si>
    <t>Likely control route</t>
  </si>
  <si>
    <t>ACP</t>
  </si>
  <si>
    <t>PL master ↔ coherent CPU memory path</t>
  </si>
  <si>
    <t>Coherent access to CPU memory system</t>
  </si>
  <si>
    <t>Alternative, not required for first demo</t>
  </si>
  <si>
    <t>Hardware coherency option for supported transactions</t>
  </si>
  <si>
    <t>More complexity; performance/coherency trade-offs; DMA + HP is a common simpler starting point</t>
  </si>
  <si>
    <t>Keep as comparison</t>
  </si>
  <si>
    <t>Bare-metal CPU copy / programmed I/O</t>
  </si>
  <si>
    <t>PS CPU ↔ peripheral/FIFO or memory</t>
  </si>
  <si>
    <t>Simplest smoke test, small vectors</t>
  </si>
  <si>
    <t>Useful for initial register/FIFO test</t>
  </si>
  <si>
    <t>Easy to inspect; minimal IP dependencies</t>
  </si>
  <si>
    <t>CPU overhead and poor scaling for bulk matrix transfers</t>
  </si>
  <si>
    <t>Good first bring-up option</t>
  </si>
  <si>
    <t>Interrupt</t>
  </si>
  <si>
    <t>PL/DMA → PS GIC/CPU</t>
  </si>
  <si>
    <t>Notify completion/error</t>
  </si>
  <si>
    <t>Optional; polling is simpler initially</t>
  </si>
  <si>
    <t>Avoids busy-waiting for longer operations</t>
  </si>
  <si>
    <t>Requires interrupt configuration and handler correctness</t>
  </si>
  <si>
    <t>Defer until polling works</t>
  </si>
  <si>
    <t>Polling status</t>
  </si>
  <si>
    <t>PS reads AXI-Lite status</t>
  </si>
  <si>
    <t>Wait for completion</t>
  </si>
  <si>
    <t>Yes initially</t>
  </si>
  <si>
    <t>Simple bring-up/debug</t>
  </si>
  <si>
    <t>CPU spins while waiting; status protocol must avoid stale flags</t>
  </si>
  <si>
    <t>Recommended first</t>
  </si>
  <si>
    <t>Cache maintenance</t>
  </si>
  <si>
    <t>Software cache ops around DMA buffers</t>
  </si>
  <si>
    <t>Make CPU/DMA data visibility correct on non-coherent path</t>
  </si>
  <si>
    <t>Required consideration</t>
  </si>
  <si>
    <t>Prevents stale inputs/outputs on cached memory</t>
  </si>
  <si>
    <t>Alignment and cache-line boundaries matter; exact calls depend on BSP/driver</t>
  </si>
  <si>
    <t>Must document</t>
  </si>
  <si>
    <t>Clock/reset</t>
  </si>
  <si>
    <t>PS FCLK / PL clocking and reset network</t>
  </si>
  <si>
    <t>Provide stable clock and deterministic reset</t>
  </si>
  <si>
    <t>Yes</t>
  </si>
  <si>
    <t>PS can supply configurable PL clocks; board also has 100 MHz PL oscillator</t>
  </si>
  <si>
    <t>Do not assume oscillator equals achievable fmax; reset sequencing and CDC must be handled</t>
  </si>
  <si>
    <t>Must design</t>
  </si>
  <si>
    <t>Provisional WS Array &amp; Tile Calculator</t>
  </si>
  <si>
    <t>Edit blue cells. Formulas estimate PE count, raw tile storage and ideal peak MAC rate; they do not predict achieved performance or prove synthesis fit.</t>
  </si>
  <si>
    <t>Input / output</t>
  </si>
  <si>
    <t>Value</t>
  </si>
  <si>
    <t>Units</t>
  </si>
  <si>
    <t>Type</t>
  </si>
  <si>
    <t>Notes</t>
  </si>
  <si>
    <t>Array columns (Q)</t>
  </si>
  <si>
    <t>PEs</t>
  </si>
  <si>
    <t>Assumption</t>
  </si>
  <si>
    <t>Columns of PE mesh.</t>
  </si>
  <si>
    <t>Input operand width</t>
  </si>
  <si>
    <t>bits</t>
  </si>
  <si>
    <t>Signed INT8 candidate.</t>
  </si>
  <si>
    <t>Accumulator width</t>
  </si>
  <si>
    <t>INT32 candidate.</t>
  </si>
  <si>
    <t>Clock target</t>
  </si>
  <si>
    <t>MHz</t>
  </si>
  <si>
    <t>Illustrative target based on board PL oscillator; not a guaranteed fmax.</t>
  </si>
  <si>
    <t>M (rows of A)</t>
  </si>
  <si>
    <t>elements</t>
  </si>
  <si>
    <t>Workload input</t>
  </si>
  <si>
    <t>C = A[M×K] × B[K×N].</t>
  </si>
  <si>
    <t>N (columns of B)</t>
  </si>
  <si>
    <t>Change to examine workload size.</t>
  </si>
  <si>
    <t>K (reduction dimension)</t>
  </si>
  <si>
    <t>M tile</t>
  </si>
  <si>
    <t>Tile input</t>
  </si>
  <si>
    <t>Usually no larger than array row capacity for a simple mapping; exact mapping dependent.</t>
  </si>
  <si>
    <t>N tile</t>
  </si>
  <si>
    <t>Usually no larger than array column capacity for a simple mapping; exact mapping dependent.</t>
  </si>
  <si>
    <t>K tile</t>
  </si>
  <si>
    <t>Reduction chunk; can be larger than PE dimensions through time-multiplexed accumulation.</t>
  </si>
  <si>
    <t>Double-buffer factor</t>
  </si>
  <si>
    <t>copies</t>
  </si>
  <si>
    <t>Set 1 for single buffering, 2 for ping-pong buffers.</t>
  </si>
  <si>
    <t>Estimated PE count</t>
  </si>
  <si>
    <t>Derived</t>
  </si>
  <si>
    <t>Array rows × columns.</t>
  </si>
  <si>
    <t>Raw input A tile</t>
  </si>
  <si>
    <t>bytes</t>
  </si>
  <si>
    <t>M_tile × K_tile × operand bytes; formula currently based on row 13 M tile and row 15 K tile.</t>
  </si>
  <si>
    <t>Raw input B tile</t>
  </si>
  <si>
    <t>K_tile × N_tile × operand bytes.</t>
  </si>
  <si>
    <t>Raw output/partial-sum tile</t>
  </si>
  <si>
    <t>M_tile × N_tile × accumulator bytes.</t>
  </si>
  <si>
    <t>Raw combined tile storage</t>
  </si>
  <si>
    <t>A + B + C tile buffers multiplied by double-buffer factor. Does not include weights/metadata/FIFO/implementation overhead separately.</t>
  </si>
  <si>
    <t>Full A matrix</t>
  </si>
  <si>
    <t>M × K × input bytes.</t>
  </si>
  <si>
    <t>Full B matrix</t>
  </si>
  <si>
    <t>K × N × input bytes.</t>
  </si>
  <si>
    <t>Full C matrix</t>
  </si>
  <si>
    <t>M × N × accumulator bytes.</t>
  </si>
  <si>
    <t>Full matrices total</t>
  </si>
  <si>
    <t>Excludes software reference arrays, alignment and other buffers.</t>
  </si>
  <si>
    <t>Ideal peak MAC/s</t>
  </si>
  <si>
    <t>MAC/s</t>
  </si>
  <si>
    <t>Assumes one MAC per PE per clock; actual WS schedule, fill/drain, memory stalls and DSP mapping reduce achieved rate.</t>
  </si>
  <si>
    <t>Ideal peak GMAC/s</t>
  </si>
  <si>
    <t>GMAC/s</t>
  </si>
  <si>
    <t>Decimal GMAC/s.</t>
  </si>
  <si>
    <t>Raw BRAM capacity</t>
  </si>
  <si>
    <t>Nominal 36-Kb blocks; effective use depends on RAM configuration and fragmentation.</t>
  </si>
  <si>
    <t>Raw tile BRAM share</t>
  </si>
  <si>
    <t>%</t>
  </si>
  <si>
    <t>Approximate fraction of nominal BRAM bits for calculated A/B/C buffers only.</t>
  </si>
  <si>
    <t>Output tile elements</t>
  </si>
  <si>
    <t>Output values per tile.</t>
  </si>
  <si>
    <t>K tiles per output tile</t>
  </si>
  <si>
    <t>tiles</t>
  </si>
  <si>
    <t>Number of reduction chunks; each output tile accumulates across them.</t>
  </si>
  <si>
    <t>Output tiles per full result</t>
  </si>
  <si>
    <t>Number of M×N output tiles.</t>
  </si>
  <si>
    <t>Precision, Array Size &amp; Tiling Implications</t>
  </si>
  <si>
    <t>This sheet converts architecture choices into quantities to test. WS mapping details remain dependent on the PE dataflow/schedule.</t>
  </si>
  <si>
    <t>Topic</t>
  </si>
  <si>
    <t>Candidate / formula</t>
  </si>
  <si>
    <t>What it means</t>
  </si>
  <si>
    <t>Resource pressure</t>
  </si>
  <si>
    <t>Data movement implication</t>
  </si>
  <si>
    <t>What to verify</t>
  </si>
  <si>
    <t>Status</t>
  </si>
  <si>
    <t>Input precision</t>
  </si>
  <si>
    <t>INT8 signed (8 bits)</t>
  </si>
  <si>
    <t>One byte per matrix element; candidate only</t>
  </si>
  <si>
    <t>Multiplier mapping into DSP48E1 or LUTs; operand registers</t>
  </si>
  <si>
    <t>4× less input bytes than INT32 values, but not automatically 4× faster</t>
  </si>
  <si>
    <t>Signed multiply behavior; DSP/LUT mapping; overflow/saturation policy</t>
  </si>
  <si>
    <t>Accumulator precision</t>
  </si>
  <si>
    <t>INT32 (32 bits)</t>
  </si>
  <si>
    <t>Four bytes per partial sum/output element</t>
  </si>
  <si>
    <t>Accumulator registers and output BRAM grow with width</t>
  </si>
  <si>
    <t>Output and partial-sum traffic larger than INT8 inputs</t>
  </si>
  <si>
    <t>Worst-case accumulation range for chosen K; wrap/saturate behavior</t>
  </si>
  <si>
    <t>INT8 product range</t>
  </si>
  <si>
    <t>(-128…127)×(-128…127)</t>
  </si>
  <si>
    <t>Product magnitude can reach 16384 (negative endpoint product is +16384)</t>
  </si>
  <si>
    <t>Product width must safely represent signed 16-bit product</t>
  </si>
  <si>
    <t>Products feed wider accumulator</t>
  </si>
  <si>
    <t>RTL sizing and signed casting</t>
  </si>
  <si>
    <t>Accumulator bound</t>
  </si>
  <si>
    <t>Conservative absolute sum ≤ K×16384</t>
  </si>
  <si>
    <t>For K=64, bound ≤1,048,576; fits signed INT32 comfortably</t>
  </si>
  <si>
    <t>Accumulator width may be over-provisioned for small K but simplifies scaling</t>
  </si>
  <si>
    <t>INT32 outputs remain 4 bytes each</t>
  </si>
  <si>
    <t>Actual input range and K max; bias/zero-point if quantized DNN use is intended</t>
  </si>
  <si>
    <t>Derived; excludes bias</t>
  </si>
  <si>
    <t>Array size</t>
  </si>
  <si>
    <t>P×Q PEs</t>
  </si>
  <si>
    <t>4×4=16; 8×8=64; 16×16=256</t>
  </si>
  <si>
    <t>More PEs increase arithmetic/state/control and routing; 256 PEs may exceed DSP budget if mapped one-per-PE</t>
  </si>
  <si>
    <t>Higher compute demand can outpace DDR/stream bandwidth</t>
  </si>
  <si>
    <t>Vivado utilization and timing for each candidate</t>
  </si>
  <si>
    <t>To evaluate</t>
  </si>
  <si>
    <t>One MAC per PE per cycle</t>
  </si>
  <si>
    <t>Ideal peak = P×Q×f</t>
  </si>
  <si>
    <t>At 100 MHz: 4×4=1.6 GMAC/s; 8×8=6.4 GMAC/s; 16×16=25.6 GMAC/s ideal</t>
  </si>
  <si>
    <t>Does not imply resources fit; actual MAC mapping varies</t>
  </si>
  <si>
    <t>Input supply must sustain PE activity</t>
  </si>
  <si>
    <t>RTL schedule, fill/drain, stalls, fmax</t>
  </si>
  <si>
    <t>Derived ideal bound</t>
  </si>
  <si>
    <t>Tiling</t>
  </si>
  <si>
    <t>C[M×N]=A[M×K]×B[K×N]</t>
  </si>
  <si>
    <t>Tile A[M_t×K_t], B[K_t×N_t], C[M_t×N_t]</t>
  </si>
  <si>
    <t>BRAM buffers tile data; output partial sums often INT32</t>
  </si>
  <si>
    <t>K tiling requires partial sums to persist across K chunks</t>
  </si>
  <si>
    <t>Define whether C tile stays on chip for all K chunks or is spilled/reloaded</t>
  </si>
  <si>
    <t>Architecture decision</t>
  </si>
  <si>
    <t>Tile capacity</t>
  </si>
  <si>
    <t>Bytes ≈ M_tK_t×bA + K_tN_t×bB + M_tN_t×bC</t>
  </si>
  <si>
    <t>bA,bB,bC are bytes per element</t>
  </si>
  <si>
    <t>Does not include FIFO/weight registers/double-buffering unless explicitly multiplied</t>
  </si>
  <si>
    <t>Larger K_t reduces loop/setup overhead but increases A/B tile storage</t>
  </si>
  <si>
    <t>Compare tile storage against effective BRAM budget</t>
  </si>
  <si>
    <t>Derived estimator</t>
  </si>
  <si>
    <t>Weight-stationary behavior</t>
  </si>
  <si>
    <t>Weights held locally in PEs/registers across activation cycles</t>
  </si>
  <si>
    <t>Avoids reloading stationary weights every MAC cycle within the mapped tile</t>
  </si>
  <si>
    <t>PE weight registers, weight-load network, local buffering</t>
  </si>
  <si>
    <t>Activation and partial-sum paths still need bandwidth; weights may need reload between tiles</t>
  </si>
  <si>
    <t>Specify exact mapping: which matrix is stationary, PE mapping, load/compute/drain phases</t>
  </si>
  <si>
    <t>Conceptual</t>
  </si>
  <si>
    <t>WS and matrix shape</t>
  </si>
  <si>
    <t>Array P×Q is not enough to define tile mapping</t>
  </si>
  <si>
    <t>Reduction dimension K may be streamed over time; M/N tiles map spatially in design-specific ways</t>
  </si>
  <si>
    <t>PE utilization falls for small/irregular tiles</t>
  </si>
  <si>
    <t>Edge tiles may need masking/padding; tails must be handled</t>
  </si>
  <si>
    <t>Choose mapping and document edge handling before freezing</t>
  </si>
  <si>
    <t>Open</t>
  </si>
  <si>
    <t>Double buffering</t>
  </si>
  <si>
    <t>1× vs 2× input buffers</t>
  </si>
  <si>
    <t>Two buffers can overlap transfer and compute</t>
  </si>
  <si>
    <t>Approximately doubles buffered tile storage; BRAM porting can matter</t>
  </si>
  <si>
    <t>Can hide DMA latency if compute/transfer schedules overlap</t>
  </si>
  <si>
    <t>Buffer ownership, ready/valid protocol and BRAM port conflicts</t>
  </si>
  <si>
    <t>Optional</t>
  </si>
  <si>
    <t>BRAM fragmentation</t>
  </si>
  <si>
    <t>140×36 Kb nominal</t>
  </si>
  <si>
    <t>Nominal bit count is not identical to usable tile bytes</t>
  </si>
  <si>
    <t>Widths/depths, true/dual-port mode and inference can waste blocks</t>
  </si>
  <si>
    <t>Separate A/B/C buffers can fragment capacity</t>
  </si>
  <si>
    <t>Vivado utilization report and inferred RAM reports</t>
  </si>
  <si>
    <t>Must measure</t>
  </si>
  <si>
    <t>DSP budget</t>
  </si>
  <si>
    <t>220 DSP slices total</t>
  </si>
  <si>
    <t>Useful first-order constraint, not a strict PE maximum</t>
  </si>
  <si>
    <t>INT8 multiplier packing may use DSPs differently; some PEs may use LUTs</t>
  </si>
  <si>
    <t>DSP scarcity can push LUT-based or packed implementations</t>
  </si>
  <si>
    <t>Synthesis utilization and arithmetic reports for actual signed widths</t>
  </si>
  <si>
    <t>Full matrices vs tiles</t>
  </si>
  <si>
    <t>Full matrices in DDR; tile buffers in PL BRAM</t>
  </si>
  <si>
    <t>Matrix dimension can exceed array dimensions; array processes many tiles</t>
  </si>
  <si>
    <t>DDR capacity large, but BRAM finite</t>
  </si>
  <si>
    <t>DMA stream transfers tile/block segments or full matrices in a stream schedule</t>
  </si>
  <si>
    <t>Define transfer granularity and reuse across tiles</t>
  </si>
  <si>
    <t>Recommended study</t>
  </si>
  <si>
    <t>End-to-End Data Movement Plan</t>
  </si>
  <si>
    <t>Provisional bare-metal flow; define exact stream packet/tile framing and cache operations before RTL/software integration.</t>
  </si>
  <si>
    <t>Step</t>
  </si>
  <si>
    <t>Initiator / block</t>
  </si>
  <si>
    <t>From → to</t>
  </si>
  <si>
    <t>Operation</t>
  </si>
  <si>
    <t>Key correctness concern</t>
  </si>
  <si>
    <t>Measurement to record</t>
  </si>
  <si>
    <t>Bare-metal C on PS</t>
  </si>
  <si>
    <t>DDR buffers ← CPU</t>
  </si>
  <si>
    <t>Fill A and B; compute software reference C_ref</t>
  </si>
  <si>
    <t>Valid addresses, alignment, deterministic signed test data</t>
  </si>
  <si>
    <t>CPU setup/reference time</t>
  </si>
  <si>
    <t>PS software / DMA driver</t>
  </si>
  <si>
    <t>CPU cache → DDR visibility</t>
  </si>
  <si>
    <t>Clean/flush input buffer cache lines as required by non-coherent path</t>
  </si>
  <si>
    <t>DMA must read the bytes CPU wrote; respect BSP cache API/alignment</t>
  </si>
  <si>
    <t>Cache-maintenance overhead</t>
  </si>
  <si>
    <t>PS via AXI4-Lite</t>
  </si>
  <si>
    <t>PS → PL control registers</t>
  </si>
  <si>
    <t>Set dimensions, tile configuration, mode and start/status fields</t>
  </si>
  <si>
    <t>Register map, reset values, register access path</t>
  </si>
  <si>
    <t>Register programming time</t>
  </si>
  <si>
    <t>DDR → AXI4-Stream → PL</t>
  </si>
  <si>
    <t>Transfer input blocks/tiles</t>
  </si>
  <si>
    <t>Transfer byte count, stream framing, backpressure, input ordering</t>
  </si>
  <si>
    <t>DMA bytes/s and transfer latency</t>
  </si>
  <si>
    <t>PL input buffer + WS array</t>
  </si>
  <si>
    <t>Stream → BRAM/FIFO/PEs</t>
  </si>
  <si>
    <t>Load weights, then feed activations according to WS schedule</t>
  </si>
  <si>
    <t>Define what is stationary and how each tile's weights are loaded</t>
  </si>
  <si>
    <t>Array utilization/stall cycles</t>
  </si>
  <si>
    <t>PL compute core</t>
  </si>
  <si>
    <t>PE array → partial sums/output buffer</t>
  </si>
  <si>
    <t>Multiply and accumulate across K</t>
  </si>
  <si>
    <t>Accumulator clear/retain rules, signed widths, tile boundaries</t>
  </si>
  <si>
    <t>Cycles per tile and effective MAC/s</t>
  </si>
  <si>
    <t>PL output stream + DMA S2MM</t>
  </si>
  <si>
    <t>PL → AXI4-Stream → DDR</t>
  </si>
  <si>
    <t>Emit result tile/output data</t>
  </si>
  <si>
    <t>Ordering, last/length, output byte count, signed output width</t>
  </si>
  <si>
    <t>Output bytes/s and DMA latency</t>
  </si>
  <si>
    <t>PS software</t>
  </si>
  <si>
    <t>DDR → CPU cache view</t>
  </si>
  <si>
    <t>Invalidate output cache lines as required, then read C_hw</t>
  </si>
  <si>
    <t>CPU must not read stale cache lines</t>
  </si>
  <si>
    <t>Bare-metal C</t>
  </si>
  <si>
    <t>C_hw ↔ C_ref</t>
  </si>
  <si>
    <t>Compare every element and report PASS/FAIL</t>
  </si>
  <si>
    <t>Signedness, row-major layout, overflow semantics</t>
  </si>
  <si>
    <t>Mismatch count and full run time</t>
  </si>
  <si>
    <t>Vivado reports + software timer</t>
  </si>
  <si>
    <t>Device / system</t>
  </si>
  <si>
    <t>Record resource and performance measurements</t>
  </si>
  <si>
    <t>Separate core cycles from transfer/setup/wait overhead</t>
  </si>
  <si>
    <t>LUT/FF/DSP/BRAM, fmax, latency, throughput</t>
  </si>
  <si>
    <t>Source Register &amp; Assumptions</t>
  </si>
  <si>
    <t>Prefer official board/device documentation. The workbook distinguishes published facts from design choices and derived arithmetic.</t>
  </si>
  <si>
    <t>ID</t>
  </si>
  <si>
    <t>Source / subject</t>
  </si>
  <si>
    <t>URL</t>
  </si>
  <si>
    <t>Supports</t>
  </si>
  <si>
    <t>How used / caution</t>
  </si>
  <si>
    <t>S1</t>
  </si>
  <si>
    <t>Digilent ZedBoard Hardware User Guide v2.2</t>
  </si>
  <si>
    <t>https://files.digilent.com/resources/programmable-logic/zedboard/ZedBoard_HW_UG_v2_2.pdf</t>
  </si>
  <si>
    <t>XC7Z020 board; 512 MB DDR3, 32-bit bus; 256 Mb QSPI; PS/PL clocks; board peripherals</t>
  </si>
  <si>
    <t>Board-specific facts. Guide dated 2014; check board revision/errata if physical details matter.</t>
  </si>
  <si>
    <t>S2</t>
  </si>
  <si>
    <t>AMD Zynq-7000 SoC Data Sheet: Overview (DS190)</t>
  </si>
  <si>
    <t>https://www.amd.com/content/dam/xilinx/support/documents/data_sheets/ds190-Zynq-7000-Overview.pdf</t>
  </si>
  <si>
    <t>XC7Z020 resources; PS/PL interfaces; OCM; HP/ACP/GP overview</t>
  </si>
  <si>
    <t>Use device-specific XC7Z020 row; totals are not wholly available to the accelerator.</t>
  </si>
  <si>
    <t>S3</t>
  </si>
  <si>
    <t>AMD Zynq-7000 SoC Technical Reference Manual (UG585)</t>
  </si>
  <si>
    <t>https://docs.amd.com/r/en-US/ug585-zynq-7000-SoC-TRM</t>
  </si>
  <si>
    <t>PS-PL interfaces, clocks/resets, DDR path, cache/coherency and memory subsystem</t>
  </si>
  <si>
    <t>Detailed behavior depends on selected PS configuration and IP versions.</t>
  </si>
  <si>
    <t>S4</t>
  </si>
  <si>
    <t>AMD AXI DMA Product Guide (PG021)</t>
  </si>
  <si>
    <t>https://docs.amd.com/r/en-US/pg021_axi_dma</t>
  </si>
  <si>
    <t>MM2S/S2MM operation, AXI4-Stream, DMA configuration and software driver expectations</t>
  </si>
  <si>
    <t>Use the version bundled with installed Vivado; configure lengths and stream framing correctly.</t>
  </si>
  <si>
    <t>S5</t>
  </si>
  <si>
    <t>AMD Zynq-7000 PS-PL AXI Interfaces section</t>
  </si>
  <si>
    <t>https://docs.amd.com/r/en-US/ug585-zynq-7000-SoC-TRM/PS-PL-AXI-Interfaces</t>
  </si>
  <si>
    <t>GP/HP/ACP choices and interface capabilities</t>
  </si>
  <si>
    <t>Verify exact width/configuration and routing in Vivado.</t>
  </si>
  <si>
    <t>A1</t>
  </si>
  <si>
    <t>Demo array baseline</t>
  </si>
  <si>
    <t>Workbook assumption</t>
  </si>
  <si>
    <t>4×4 PE array, signed INT8 inputs, INT32 accumulators, 100 MHz planning clock</t>
  </si>
  <si>
    <t>Illustrative only; do not treat as final architecture.</t>
  </si>
  <si>
    <t>A2</t>
  </si>
  <si>
    <t>Tiling buffer formula</t>
  </si>
  <si>
    <t>A tile + B tile + C/partial-sum tile bytes</t>
  </si>
  <si>
    <t>Simplified capacity estimate; excludes PE-resident weights, stream FIFOs, descriptors, padding, alignment, and memory fragmentation.</t>
  </si>
  <si>
    <t>A3</t>
  </si>
  <si>
    <t>Peak compute formula</t>
  </si>
  <si>
    <t>PE_count × assumed clock, one MAC/PE/cycle</t>
  </si>
  <si>
    <t>Ideal upper bound; does not account for utilization, fill/drain, K-loop, transfer bottlenecks or timing failure.</t>
  </si>
  <si>
    <t>A4</t>
  </si>
  <si>
    <t>WS mapping</t>
  </si>
  <si>
    <t>Open design decision</t>
  </si>
  <si>
    <t>Weight-resident PE mapping, tile shape, loading and partial-sum movement</t>
  </si>
  <si>
    <t>Must be defined in a schedule before accurate resource and throughput prediction.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</si>
</sst>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8" x14ac:knownFonts="1">
    <font>
      <color theme="1"/>
      <family val="2"/>
      <scheme val="minor"/>
      <sz val="11"/>
      <name val="Calibri"/>
    </font>
    <font>
      <b/>
      <color rgb="FFFFFFFF"/>
      <scheme val="minor"/>
      <sz val="16"/>
      <name val="Calibri"/>
    </font>
    <font/>
    <font>
      <i/>
      <color rgb="FF404040"/>
      <scheme val="minor"/>
      <name val="Calibri"/>
    </font>
    <font>
      <b/>
      <color rgb="FFFFFFFF"/>
      <scheme val="minor"/>
      <name val="Calibri"/>
    </font>
    <font>
      <color theme="1"/>
      <sz val="11"/>
      <name val="Calibri"/>
    </font>
    <font>
      <b/>
      <color theme="1"/>
      <scheme val="minor"/>
      <name val="Calibri"/>
    </font>
    <font>
      <u/>
      <color theme="10"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3F6F9"/>
        <bgColor rgb="FFF3F6F9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3" fillId="3" borderId="0" xfId="0" applyFont="1" applyFill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5" fillId="4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4" fontId="5" fillId="5" borderId="0" xfId="0" applyNumberFormat="1" applyFont="1" applyFill="1" applyAlignment="1">
      <alignment vertical="top" wrapText="1"/>
    </xf>
    <xf numFmtId="164" fontId="5" fillId="5" borderId="0" xfId="0" applyNumberFormat="1" applyFont="1" applyFill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files.digilent.com/resources/programmable-logic/zedboard/ZedBoard_HW_UG_v2_2.pdf" TargetMode="External"/><Relationship Id="rId2" Type="http://schemas.openxmlformats.org/officeDocument/2006/relationships/hyperlink" Target="https://www.amd.com/content/dam/xilinx/support/documents/data_sheets/ds190-Zynq-7000-Overview.pdf" TargetMode="External"/><Relationship Id="rId3" Type="http://schemas.openxmlformats.org/officeDocument/2006/relationships/hyperlink" Target="https://docs.amd.com/r/en-US/ug585-zynq-7000-SoC-TRM" TargetMode="External"/><Relationship Id="rId4" Type="http://schemas.openxmlformats.org/officeDocument/2006/relationships/hyperlink" Target="https://docs.amd.com/r/en-US/pg021_axi_dma" TargetMode="External"/><Relationship Id="rId5" Type="http://schemas.openxmlformats.org/officeDocument/2006/relationships/hyperlink" Target="https://docs.amd.com/r/en-US/ug585-zynq-7000-SoC-TRM/PS-PL-AXI-Interfa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00"/>
  <sheetViews>
    <sheetView workbookViewId="0" showGridLines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4.43"/>
  <cols>
    <col min="1" max="1" width="25" customWidth="1"/>
    <col min="2" max="2" width="115" customWidth="1"/>
    <col min="3" max="4" width="20" customWidth="1"/>
    <col min="5" max="26" width="8.71" customWidth="1"/>
  </cols>
  <sheetData>
    <row r="1" ht="27.75" customHeight="1" spans="1:4" x14ac:dyDescent="0.25">
      <c r="A1" s="1" t="s">
        <v>0</v>
      </c>
      <c r="B1" s="2"/>
      <c r="C1" s="2"/>
      <c r="D1" s="2"/>
    </row>
    <row r="2" ht="33.75" customHeight="1" spans="1:4" x14ac:dyDescent="0.25">
      <c r="A2" s="3" t="s">
        <v>1</v>
      </c>
      <c r="B2" s="2"/>
      <c r="C2" s="2"/>
      <c r="D2" s="2"/>
    </row>
    <row r="3" ht="31.5" customHeight="1" spans="1:4" x14ac:dyDescent="0.25">
      <c r="A3" s="4" t="s">
        <v>2</v>
      </c>
      <c r="B3" s="4" t="s">
        <v>3</v>
      </c>
      <c r="C3" s="5"/>
      <c r="D3" s="5"/>
    </row>
    <row r="4" spans="1:4" x14ac:dyDescent="0.25">
      <c r="A4" s="6" t="s">
        <v>4</v>
      </c>
      <c r="B4" s="5" t="s">
        <v>5</v>
      </c>
      <c r="C4" s="5"/>
      <c r="D4" s="5"/>
    </row>
    <row r="5" spans="1:4" x14ac:dyDescent="0.25">
      <c r="A5" s="6" t="s">
        <v>6</v>
      </c>
      <c r="B5" s="5" t="s">
        <v>7</v>
      </c>
      <c r="C5" s="5"/>
      <c r="D5" s="5"/>
    </row>
    <row r="6" spans="1:4" x14ac:dyDescent="0.25">
      <c r="A6" s="6" t="s">
        <v>8</v>
      </c>
      <c r="B6" s="5" t="s">
        <v>9</v>
      </c>
      <c r="C6" s="5"/>
      <c r="D6" s="5"/>
    </row>
    <row r="7" spans="1:4" x14ac:dyDescent="0.25">
      <c r="A7" s="6" t="s">
        <v>10</v>
      </c>
      <c r="B7" s="5" t="s">
        <v>11</v>
      </c>
      <c r="C7" s="5"/>
      <c r="D7" s="5"/>
    </row>
    <row r="8" spans="1:4" x14ac:dyDescent="0.25">
      <c r="A8" s="6" t="s">
        <v>12</v>
      </c>
      <c r="B8" s="5" t="s">
        <v>13</v>
      </c>
      <c r="C8" s="5"/>
      <c r="D8" s="5"/>
    </row>
    <row r="9" spans="1:4" x14ac:dyDescent="0.25">
      <c r="A9" s="6" t="s">
        <v>14</v>
      </c>
      <c r="B9" s="5" t="s">
        <v>15</v>
      </c>
      <c r="C9" s="5"/>
      <c r="D9" s="5"/>
    </row>
    <row r="10" spans="1:4" x14ac:dyDescent="0.25">
      <c r="A10" s="6" t="s">
        <v>16</v>
      </c>
      <c r="B10" s="5" t="s">
        <v>17</v>
      </c>
      <c r="C10" s="5"/>
      <c r="D10" s="5"/>
    </row>
    <row r="11" spans="1:4" x14ac:dyDescent="0.25">
      <c r="A11" s="6"/>
      <c r="B11" s="5"/>
      <c r="C11" s="5"/>
      <c r="D11" s="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D1"/>
    <mergeCell ref="A2:D2"/>
  </mergeCells>
  <pageMargins left="0.75" right="0.75" top="1" bottom="1" header="0" footer="0"/>
  <pageSetup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00"/>
  <sheetViews>
    <sheetView workbookViewId="0" showGridLines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4.43"/>
  <cols>
    <col min="1" max="1" width="17" customWidth="1"/>
    <col min="2" max="2" width="22" customWidth="1"/>
    <col min="3" max="3" width="25" customWidth="1"/>
    <col min="4" max="4" width="29" customWidth="1"/>
    <col min="5" max="5" width="30" customWidth="1"/>
    <col min="6" max="6" width="52" customWidth="1"/>
    <col min="7" max="7" width="30" customWidth="1"/>
    <col min="8" max="26" width="8.71" customWidth="1"/>
  </cols>
  <sheetData>
    <row r="1" ht="27.75" customHeight="1" spans="1:7" x14ac:dyDescent="0.25">
      <c r="A1" s="1" t="s">
        <v>18</v>
      </c>
      <c r="B1" s="2"/>
      <c r="C1" s="2"/>
      <c r="D1" s="2"/>
      <c r="E1" s="2"/>
      <c r="F1" s="2"/>
      <c r="G1" s="2"/>
    </row>
    <row r="2" ht="33.75" customHeight="1" spans="1:7" x14ac:dyDescent="0.25">
      <c r="A2" s="3" t="s">
        <v>19</v>
      </c>
      <c r="B2" s="2"/>
      <c r="C2" s="2"/>
      <c r="D2" s="2"/>
      <c r="E2" s="2"/>
      <c r="F2" s="2"/>
      <c r="G2" s="2"/>
    </row>
    <row r="3" ht="31.5" customHeight="1" spans="1:7" x14ac:dyDescent="0.25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</row>
    <row r="4" ht="51.75" customHeight="1" spans="1:7" x14ac:dyDescent="0.25">
      <c r="A4" s="7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</row>
    <row r="5" ht="51.75" customHeight="1" spans="1:7" x14ac:dyDescent="0.25">
      <c r="A5" s="7" t="s">
        <v>34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</row>
    <row r="6" ht="51.75" customHeight="1" spans="1:7" x14ac:dyDescent="0.25">
      <c r="A6" s="7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</row>
    <row r="7" ht="51.75" customHeight="1" spans="1:7" x14ac:dyDescent="0.25">
      <c r="A7" s="7" t="s">
        <v>41</v>
      </c>
      <c r="B7" s="5" t="s">
        <v>48</v>
      </c>
      <c r="C7" s="5" t="s">
        <v>49</v>
      </c>
      <c r="D7" s="5" t="s">
        <v>50</v>
      </c>
      <c r="E7" s="5" t="s">
        <v>45</v>
      </c>
      <c r="F7" s="5" t="s">
        <v>51</v>
      </c>
      <c r="G7" s="5" t="s">
        <v>52</v>
      </c>
    </row>
    <row r="8" ht="51.75" customHeight="1" spans="1:7" x14ac:dyDescent="0.25">
      <c r="A8" s="7" t="s">
        <v>41</v>
      </c>
      <c r="B8" s="5" t="s">
        <v>53</v>
      </c>
      <c r="C8" s="5" t="s">
        <v>54</v>
      </c>
      <c r="D8" s="5" t="s">
        <v>55</v>
      </c>
      <c r="E8" s="5" t="s">
        <v>45</v>
      </c>
      <c r="F8" s="5" t="s">
        <v>56</v>
      </c>
      <c r="G8" s="5" t="s">
        <v>57</v>
      </c>
    </row>
    <row r="9" ht="51.75" customHeight="1" spans="1:7" x14ac:dyDescent="0.25">
      <c r="A9" s="7" t="s">
        <v>58</v>
      </c>
      <c r="B9" s="5" t="s">
        <v>59</v>
      </c>
      <c r="C9" s="5" t="s">
        <v>60</v>
      </c>
      <c r="D9" s="5" t="s">
        <v>61</v>
      </c>
      <c r="E9" s="5" t="s">
        <v>45</v>
      </c>
      <c r="F9" s="5" t="s">
        <v>62</v>
      </c>
      <c r="G9" s="5" t="s">
        <v>63</v>
      </c>
    </row>
    <row r="10" ht="51.75" customHeight="1" spans="1:7" x14ac:dyDescent="0.25">
      <c r="A10" s="7" t="s">
        <v>64</v>
      </c>
      <c r="B10" s="5" t="s">
        <v>65</v>
      </c>
      <c r="C10" s="5" t="s">
        <v>66</v>
      </c>
      <c r="D10" s="5" t="s">
        <v>67</v>
      </c>
      <c r="E10" s="5" t="s">
        <v>45</v>
      </c>
      <c r="F10" s="5" t="s">
        <v>68</v>
      </c>
      <c r="G10" s="5" t="s">
        <v>69</v>
      </c>
    </row>
    <row r="11" ht="51.75" customHeight="1" spans="1:7" x14ac:dyDescent="0.25">
      <c r="A11" s="7" t="s">
        <v>70</v>
      </c>
      <c r="B11" s="5" t="s">
        <v>71</v>
      </c>
      <c r="C11" s="5" t="s">
        <v>72</v>
      </c>
      <c r="D11" s="5" t="s">
        <v>73</v>
      </c>
      <c r="E11" s="5" t="s">
        <v>74</v>
      </c>
      <c r="F11" s="5" t="s">
        <v>75</v>
      </c>
      <c r="G11" s="5" t="s">
        <v>76</v>
      </c>
    </row>
    <row r="12" ht="51.75" customHeight="1" spans="1:7" x14ac:dyDescent="0.25">
      <c r="A12" s="7" t="s">
        <v>70</v>
      </c>
      <c r="B12" s="5" t="s">
        <v>77</v>
      </c>
      <c r="C12" s="5" t="s">
        <v>78</v>
      </c>
      <c r="D12" s="5" t="s">
        <v>79</v>
      </c>
      <c r="E12" s="5" t="s">
        <v>38</v>
      </c>
      <c r="F12" s="5" t="s">
        <v>80</v>
      </c>
      <c r="G12" s="5" t="s">
        <v>81</v>
      </c>
    </row>
    <row r="13" ht="51.75" customHeight="1" spans="1:7" x14ac:dyDescent="0.25">
      <c r="A13" s="7" t="s">
        <v>82</v>
      </c>
      <c r="B13" s="5" t="s">
        <v>83</v>
      </c>
      <c r="C13" s="5" t="s">
        <v>84</v>
      </c>
      <c r="D13" s="5" t="s">
        <v>85</v>
      </c>
      <c r="E13" s="5" t="s">
        <v>86</v>
      </c>
      <c r="F13" s="5" t="s">
        <v>87</v>
      </c>
      <c r="G13" s="5" t="s">
        <v>33</v>
      </c>
    </row>
    <row r="14" ht="51.75" customHeight="1" spans="1:7" x14ac:dyDescent="0.25">
      <c r="A14" s="7" t="s">
        <v>88</v>
      </c>
      <c r="B14" s="5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94</v>
      </c>
    </row>
    <row r="15" ht="51.75" customHeight="1" spans="1:7" x14ac:dyDescent="0.25">
      <c r="A15" s="7" t="s">
        <v>88</v>
      </c>
      <c r="B15" s="5" t="s">
        <v>95</v>
      </c>
      <c r="C15" s="5" t="s">
        <v>96</v>
      </c>
      <c r="D15" s="5" t="s">
        <v>97</v>
      </c>
      <c r="E15" s="5" t="s">
        <v>98</v>
      </c>
      <c r="F15" s="5" t="s">
        <v>99</v>
      </c>
      <c r="G15" s="5" t="s">
        <v>100</v>
      </c>
    </row>
    <row r="16" ht="51.75" customHeight="1" spans="1:7" x14ac:dyDescent="0.25">
      <c r="A16" s="7" t="s">
        <v>101</v>
      </c>
      <c r="B16" s="5" t="s">
        <v>102</v>
      </c>
      <c r="C16" s="5" t="s">
        <v>103</v>
      </c>
      <c r="D16" s="5" t="s">
        <v>104</v>
      </c>
      <c r="E16" s="5" t="s">
        <v>105</v>
      </c>
      <c r="F16" s="5" t="s">
        <v>106</v>
      </c>
      <c r="G16" s="5" t="s">
        <v>107</v>
      </c>
    </row>
    <row r="17" ht="51.75" customHeight="1" spans="1:7" x14ac:dyDescent="0.25">
      <c r="A17" s="7" t="s">
        <v>101</v>
      </c>
      <c r="B17" s="5" t="s">
        <v>108</v>
      </c>
      <c r="C17" s="5" t="s">
        <v>109</v>
      </c>
      <c r="D17" s="5" t="s">
        <v>110</v>
      </c>
      <c r="E17" s="5" t="s">
        <v>111</v>
      </c>
      <c r="F17" s="5" t="s">
        <v>112</v>
      </c>
      <c r="G17" s="5" t="s">
        <v>113</v>
      </c>
    </row>
    <row r="18" ht="51.75" customHeight="1" spans="1:7" x14ac:dyDescent="0.25">
      <c r="A18" s="7" t="s">
        <v>101</v>
      </c>
      <c r="B18" s="5" t="s">
        <v>114</v>
      </c>
      <c r="C18" s="5" t="s">
        <v>115</v>
      </c>
      <c r="D18" s="5" t="s">
        <v>116</v>
      </c>
      <c r="E18" s="5" t="s">
        <v>117</v>
      </c>
      <c r="F18" s="5" t="s">
        <v>118</v>
      </c>
      <c r="G18" s="5" t="s">
        <v>119</v>
      </c>
    </row>
    <row r="19" ht="51.75" customHeight="1" spans="1:7" x14ac:dyDescent="0.25">
      <c r="A19" s="7" t="s">
        <v>120</v>
      </c>
      <c r="B19" s="5" t="s">
        <v>121</v>
      </c>
      <c r="C19" s="5" t="s">
        <v>122</v>
      </c>
      <c r="D19" s="5" t="s">
        <v>123</v>
      </c>
      <c r="E19" s="5" t="s">
        <v>124</v>
      </c>
      <c r="F19" s="5" t="s">
        <v>125</v>
      </c>
      <c r="G19" s="5" t="s">
        <v>33</v>
      </c>
    </row>
    <row r="20" ht="51.75" customHeight="1" spans="1:7" x14ac:dyDescent="0.25">
      <c r="A20" s="7" t="s">
        <v>120</v>
      </c>
      <c r="B20" s="5" t="s">
        <v>126</v>
      </c>
      <c r="C20" s="5" t="s">
        <v>127</v>
      </c>
      <c r="D20" s="5" t="s">
        <v>128</v>
      </c>
      <c r="E20" s="5" t="s">
        <v>124</v>
      </c>
      <c r="F20" s="5" t="s">
        <v>129</v>
      </c>
      <c r="G20" s="5" t="s">
        <v>33</v>
      </c>
    </row>
    <row r="21" ht="51.75" customHeight="1" spans="1:7" x14ac:dyDescent="0.25">
      <c r="A21" s="7" t="s">
        <v>120</v>
      </c>
      <c r="B21" s="5" t="s">
        <v>130</v>
      </c>
      <c r="C21" s="5" t="s">
        <v>131</v>
      </c>
      <c r="D21" s="5" t="s">
        <v>132</v>
      </c>
      <c r="E21" s="5" t="s">
        <v>133</v>
      </c>
      <c r="F21" s="5" t="s">
        <v>134</v>
      </c>
      <c r="G21" s="5" t="s">
        <v>33</v>
      </c>
    </row>
    <row r="22" ht="51.75" customHeight="1" spans="1:7" x14ac:dyDescent="0.25">
      <c r="A22" s="7" t="s">
        <v>120</v>
      </c>
      <c r="B22" s="5" t="s">
        <v>135</v>
      </c>
      <c r="C22" s="5" t="s">
        <v>136</v>
      </c>
      <c r="D22" s="5" t="s">
        <v>137</v>
      </c>
      <c r="E22" s="5" t="s">
        <v>120</v>
      </c>
      <c r="F22" s="5" t="s">
        <v>138</v>
      </c>
      <c r="G22" s="5" t="s">
        <v>139</v>
      </c>
    </row>
    <row r="23" ht="51.75" customHeight="1" spans="1:7" x14ac:dyDescent="0.25">
      <c r="A23" s="7" t="s">
        <v>120</v>
      </c>
      <c r="B23" s="5" t="s">
        <v>140</v>
      </c>
      <c r="C23" s="5" t="s">
        <v>141</v>
      </c>
      <c r="D23" s="5" t="s">
        <v>142</v>
      </c>
      <c r="E23" s="5" t="s">
        <v>143</v>
      </c>
      <c r="F23" s="5" t="s">
        <v>144</v>
      </c>
      <c r="G23" s="5" t="s">
        <v>33</v>
      </c>
    </row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$A$3:$G$23"/>
  <mergeCells count="2">
    <mergeCell ref="A1:G1"/>
    <mergeCell ref="A2:G2"/>
  </mergeCells>
  <pageMargins left="0.75" right="0.75" top="1" bottom="1" header="0" footer="0"/>
  <pageSetup orientation="landscape" horizontalDpi="4294967295" verticalDpi="4294967295" scale="10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00"/>
  <sheetViews>
    <sheetView workbookViewId="0" showGridLines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4.43"/>
  <cols>
    <col min="1" max="1" width="25" customWidth="1"/>
    <col min="2" max="2" width="28" customWidth="1"/>
    <col min="3" max="3" width="35" customWidth="1"/>
    <col min="4" max="4" width="24" customWidth="1"/>
    <col min="5" max="5" width="42" customWidth="1"/>
    <col min="6" max="6" width="48" customWidth="1"/>
    <col min="7" max="7" width="24" customWidth="1"/>
    <col min="8" max="26" width="8.71" customWidth="1"/>
  </cols>
  <sheetData>
    <row r="1" ht="27.75" customHeight="1" spans="1:7" x14ac:dyDescent="0.25">
      <c r="A1" s="1" t="s">
        <v>145</v>
      </c>
      <c r="B1" s="2"/>
      <c r="C1" s="2"/>
      <c r="D1" s="2"/>
      <c r="E1" s="2"/>
      <c r="F1" s="2"/>
      <c r="G1" s="2"/>
    </row>
    <row r="2" ht="33.75" customHeight="1" spans="1:7" x14ac:dyDescent="0.25">
      <c r="A2" s="3" t="s">
        <v>146</v>
      </c>
      <c r="B2" s="2"/>
      <c r="C2" s="2"/>
      <c r="D2" s="2"/>
      <c r="E2" s="2"/>
      <c r="F2" s="2"/>
      <c r="G2" s="2"/>
    </row>
    <row r="3" ht="31.5" customHeight="1" spans="1:7" x14ac:dyDescent="0.25">
      <c r="A3" s="4" t="s">
        <v>147</v>
      </c>
      <c r="B3" s="4" t="s">
        <v>148</v>
      </c>
      <c r="C3" s="4" t="s">
        <v>2</v>
      </c>
      <c r="D3" s="4" t="s">
        <v>149</v>
      </c>
      <c r="E3" s="4" t="s">
        <v>150</v>
      </c>
      <c r="F3" s="4" t="s">
        <v>151</v>
      </c>
      <c r="G3" s="4" t="s">
        <v>152</v>
      </c>
    </row>
    <row r="4" ht="61.5" customHeight="1" spans="1:7" x14ac:dyDescent="0.25">
      <c r="A4" s="5" t="s">
        <v>153</v>
      </c>
      <c r="B4" s="5" t="s">
        <v>154</v>
      </c>
      <c r="C4" s="5" t="s">
        <v>155</v>
      </c>
      <c r="D4" s="5" t="s">
        <v>156</v>
      </c>
      <c r="E4" s="5" t="s">
        <v>157</v>
      </c>
      <c r="F4" s="5" t="s">
        <v>158</v>
      </c>
      <c r="G4" s="5" t="s">
        <v>159</v>
      </c>
    </row>
    <row r="5" ht="61.5" customHeight="1" spans="1:7" x14ac:dyDescent="0.25">
      <c r="A5" s="5" t="s">
        <v>160</v>
      </c>
      <c r="B5" s="5" t="s">
        <v>161</v>
      </c>
      <c r="C5" s="5" t="s">
        <v>162</v>
      </c>
      <c r="D5" s="5" t="s">
        <v>163</v>
      </c>
      <c r="E5" s="5" t="s">
        <v>164</v>
      </c>
      <c r="F5" s="5" t="s">
        <v>165</v>
      </c>
      <c r="G5" s="5" t="s">
        <v>166</v>
      </c>
    </row>
    <row r="6" ht="61.5" customHeight="1" spans="1:7" x14ac:dyDescent="0.25">
      <c r="A6" s="5" t="s">
        <v>167</v>
      </c>
      <c r="B6" s="5" t="s">
        <v>168</v>
      </c>
      <c r="C6" s="5" t="s">
        <v>169</v>
      </c>
      <c r="D6" s="5" t="s">
        <v>163</v>
      </c>
      <c r="E6" s="5" t="s">
        <v>170</v>
      </c>
      <c r="F6" s="5" t="s">
        <v>171</v>
      </c>
      <c r="G6" s="5" t="s">
        <v>166</v>
      </c>
    </row>
    <row r="7" ht="61.5" customHeight="1" spans="1:7" x14ac:dyDescent="0.25">
      <c r="A7" s="5" t="s">
        <v>172</v>
      </c>
      <c r="B7" s="5" t="s">
        <v>173</v>
      </c>
      <c r="C7" s="5" t="s">
        <v>174</v>
      </c>
      <c r="D7" s="5" t="s">
        <v>175</v>
      </c>
      <c r="E7" s="5" t="s">
        <v>176</v>
      </c>
      <c r="F7" s="5" t="s">
        <v>177</v>
      </c>
      <c r="G7" s="5" t="s">
        <v>178</v>
      </c>
    </row>
    <row r="8" ht="61.5" customHeight="1" spans="1:7" x14ac:dyDescent="0.25">
      <c r="A8" s="5" t="s">
        <v>179</v>
      </c>
      <c r="B8" s="5" t="s">
        <v>180</v>
      </c>
      <c r="C8" s="5" t="s">
        <v>181</v>
      </c>
      <c r="D8" s="5" t="s">
        <v>182</v>
      </c>
      <c r="E8" s="5" t="s">
        <v>183</v>
      </c>
      <c r="F8" s="5" t="s">
        <v>184</v>
      </c>
      <c r="G8" s="5" t="s">
        <v>185</v>
      </c>
    </row>
    <row r="9" ht="61.5" customHeight="1" spans="1:7" x14ac:dyDescent="0.25">
      <c r="A9" s="5" t="s">
        <v>186</v>
      </c>
      <c r="B9" s="5" t="s">
        <v>187</v>
      </c>
      <c r="C9" s="5" t="s">
        <v>188</v>
      </c>
      <c r="D9" s="5" t="s">
        <v>189</v>
      </c>
      <c r="E9" s="5" t="s">
        <v>190</v>
      </c>
      <c r="F9" s="5" t="s">
        <v>191</v>
      </c>
      <c r="G9" s="5" t="s">
        <v>192</v>
      </c>
    </row>
    <row r="10" ht="61.5" customHeight="1" spans="1:7" x14ac:dyDescent="0.25">
      <c r="A10" s="5" t="s">
        <v>193</v>
      </c>
      <c r="B10" s="5" t="s">
        <v>194</v>
      </c>
      <c r="C10" s="5" t="s">
        <v>195</v>
      </c>
      <c r="D10" s="5" t="s">
        <v>196</v>
      </c>
      <c r="E10" s="5" t="s">
        <v>197</v>
      </c>
      <c r="F10" s="5" t="s">
        <v>198</v>
      </c>
      <c r="G10" s="5" t="s">
        <v>199</v>
      </c>
    </row>
    <row r="11" ht="61.5" customHeight="1" spans="1:7" x14ac:dyDescent="0.25">
      <c r="A11" s="5" t="s">
        <v>200</v>
      </c>
      <c r="B11" s="5" t="s">
        <v>201</v>
      </c>
      <c r="C11" s="5" t="s">
        <v>202</v>
      </c>
      <c r="D11" s="5" t="s">
        <v>203</v>
      </c>
      <c r="E11" s="5" t="s">
        <v>204</v>
      </c>
      <c r="F11" s="5" t="s">
        <v>205</v>
      </c>
      <c r="G11" s="5" t="s">
        <v>206</v>
      </c>
    </row>
    <row r="12" ht="61.5" customHeight="1" spans="1:7" x14ac:dyDescent="0.25">
      <c r="A12" s="5" t="s">
        <v>207</v>
      </c>
      <c r="B12" s="5" t="s">
        <v>208</v>
      </c>
      <c r="C12" s="5" t="s">
        <v>209</v>
      </c>
      <c r="D12" s="5" t="s">
        <v>210</v>
      </c>
      <c r="E12" s="5" t="s">
        <v>211</v>
      </c>
      <c r="F12" s="5" t="s">
        <v>212</v>
      </c>
      <c r="G12" s="5" t="s">
        <v>213</v>
      </c>
    </row>
    <row r="13" ht="61.5" customHeight="1" spans="1:7" x14ac:dyDescent="0.25">
      <c r="A13" s="5" t="s">
        <v>214</v>
      </c>
      <c r="B13" s="5" t="s">
        <v>215</v>
      </c>
      <c r="C13" s="5" t="s">
        <v>216</v>
      </c>
      <c r="D13" s="5" t="s">
        <v>217</v>
      </c>
      <c r="E13" s="5" t="s">
        <v>218</v>
      </c>
      <c r="F13" s="5" t="s">
        <v>219</v>
      </c>
      <c r="G13" s="5" t="s">
        <v>220</v>
      </c>
    </row>
    <row r="14" ht="61.5" customHeight="1" spans="1:7" x14ac:dyDescent="0.25">
      <c r="A14" s="5" t="s">
        <v>221</v>
      </c>
      <c r="B14" s="5" t="s">
        <v>222</v>
      </c>
      <c r="C14" s="5" t="s">
        <v>223</v>
      </c>
      <c r="D14" s="5" t="s">
        <v>224</v>
      </c>
      <c r="E14" s="5" t="s">
        <v>225</v>
      </c>
      <c r="F14" s="5" t="s">
        <v>226</v>
      </c>
      <c r="G14" s="5" t="s">
        <v>227</v>
      </c>
    </row>
    <row r="15" ht="61.5" customHeight="1" spans="1:7" x14ac:dyDescent="0.25">
      <c r="A15" s="5" t="s">
        <v>228</v>
      </c>
      <c r="B15" s="5" t="s">
        <v>229</v>
      </c>
      <c r="C15" s="5" t="s">
        <v>230</v>
      </c>
      <c r="D15" s="5" t="s">
        <v>231</v>
      </c>
      <c r="E15" s="5" t="s">
        <v>232</v>
      </c>
      <c r="F15" s="5" t="s">
        <v>233</v>
      </c>
      <c r="G15" s="5" t="s">
        <v>234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$A$3:$G$15"/>
  <mergeCells count="2">
    <mergeCell ref="A1:G1"/>
    <mergeCell ref="A2:G2"/>
  </mergeCells>
  <pageMargins left="0.75" right="0.75" top="1" bottom="1" header="0" footer="0"/>
  <pageSetup orientation="landscape" horizontalDpi="4294967295" verticalDpi="4294967295" scale="100" fitToWidth="1" fitToHeight="0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00"/>
  <sheetViews>
    <sheetView workbookViewId="0" showGridLines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4.43"/>
  <cols>
    <col min="1" max="1" width="31" customWidth="1"/>
    <col min="2" max="2" width="19" customWidth="1"/>
    <col min="3" max="4" width="18" customWidth="1"/>
    <col min="5" max="5" width="78" customWidth="1"/>
    <col min="6" max="26" width="8.71" customWidth="1"/>
  </cols>
  <sheetData>
    <row r="1" ht="27.75" customHeight="1" spans="1:5" x14ac:dyDescent="0.25">
      <c r="A1" s="1" t="s">
        <v>235</v>
      </c>
      <c r="B1" s="2"/>
      <c r="C1" s="2"/>
      <c r="D1" s="2"/>
      <c r="E1" s="2"/>
    </row>
    <row r="2" ht="33.75" customHeight="1" spans="1:5" x14ac:dyDescent="0.25">
      <c r="A2" s="3" t="s">
        <v>236</v>
      </c>
      <c r="B2" s="2"/>
      <c r="C2" s="2"/>
      <c r="D2" s="2"/>
      <c r="E2" s="2"/>
    </row>
    <row r="3" ht="31.5" customHeight="1" spans="1:5" x14ac:dyDescent="0.25">
      <c r="A3" s="8" t="s">
        <v>237</v>
      </c>
      <c r="B3" s="8" t="s">
        <v>238</v>
      </c>
      <c r="C3" s="8" t="s">
        <v>239</v>
      </c>
      <c r="D3" s="8" t="s">
        <v>240</v>
      </c>
      <c r="E3" s="8" t="s">
        <v>241</v>
      </c>
    </row>
    <row r="4" ht="42" customHeight="1" spans="1:5" x14ac:dyDescent="0.25">
      <c r="A4" s="5" t="s">
        <v>242</v>
      </c>
      <c r="B4" s="9">
        <v>4</v>
      </c>
      <c r="C4" s="5" t="s">
        <v>243</v>
      </c>
      <c r="D4" s="5" t="s">
        <v>244</v>
      </c>
      <c r="E4" s="5" t="s">
        <v>245</v>
      </c>
    </row>
    <row r="5" ht="42" customHeight="1" spans="1:5" x14ac:dyDescent="0.25">
      <c r="A5" s="5" t="s">
        <v>246</v>
      </c>
      <c r="B5" s="9">
        <v>8</v>
      </c>
      <c r="C5" s="5" t="s">
        <v>247</v>
      </c>
      <c r="D5" s="5" t="s">
        <v>244</v>
      </c>
      <c r="E5" s="5" t="s">
        <v>248</v>
      </c>
    </row>
    <row r="6" ht="42" customHeight="1" spans="1:5" x14ac:dyDescent="0.25">
      <c r="A6" s="5" t="s">
        <v>249</v>
      </c>
      <c r="B6" s="9">
        <v>32</v>
      </c>
      <c r="C6" s="5" t="s">
        <v>247</v>
      </c>
      <c r="D6" s="5" t="s">
        <v>244</v>
      </c>
      <c r="E6" s="5" t="s">
        <v>250</v>
      </c>
    </row>
    <row r="7" ht="42" customHeight="1" spans="1:5" x14ac:dyDescent="0.25">
      <c r="A7" s="5" t="s">
        <v>251</v>
      </c>
      <c r="B7" s="9">
        <v>100</v>
      </c>
      <c r="C7" s="5" t="s">
        <v>252</v>
      </c>
      <c r="D7" s="5" t="s">
        <v>244</v>
      </c>
      <c r="E7" s="5" t="s">
        <v>253</v>
      </c>
    </row>
    <row r="8" ht="42" customHeight="1" spans="1:5" x14ac:dyDescent="0.25">
      <c r="A8" s="5" t="s">
        <v>254</v>
      </c>
      <c r="B8" s="9">
        <v>64</v>
      </c>
      <c r="C8" s="5" t="s">
        <v>255</v>
      </c>
      <c r="D8" s="5" t="s">
        <v>256</v>
      </c>
      <c r="E8" s="5" t="s">
        <v>257</v>
      </c>
    </row>
    <row r="9" ht="42" customHeight="1" spans="1:5" x14ac:dyDescent="0.25">
      <c r="A9" s="5" t="s">
        <v>258</v>
      </c>
      <c r="B9" s="9">
        <v>64</v>
      </c>
      <c r="C9" s="5" t="s">
        <v>255</v>
      </c>
      <c r="D9" s="5" t="s">
        <v>256</v>
      </c>
      <c r="E9" s="5" t="s">
        <v>259</v>
      </c>
    </row>
    <row r="10" ht="42" customHeight="1" spans="1:5" x14ac:dyDescent="0.25">
      <c r="A10" s="5" t="s">
        <v>260</v>
      </c>
      <c r="B10" s="9">
        <v>64</v>
      </c>
      <c r="C10" s="5" t="s">
        <v>255</v>
      </c>
      <c r="D10" s="5" t="s">
        <v>256</v>
      </c>
      <c r="E10" s="5" t="s">
        <v>259</v>
      </c>
    </row>
    <row r="11" ht="42" customHeight="1" spans="1:5" x14ac:dyDescent="0.25">
      <c r="A11" s="5" t="s">
        <v>261</v>
      </c>
      <c r="B11" s="9">
        <v>4</v>
      </c>
      <c r="C11" s="5" t="s">
        <v>255</v>
      </c>
      <c r="D11" s="5" t="s">
        <v>262</v>
      </c>
      <c r="E11" s="5" t="s">
        <v>263</v>
      </c>
    </row>
    <row r="12" ht="42" customHeight="1" spans="1:5" x14ac:dyDescent="0.25">
      <c r="A12" s="5" t="s">
        <v>264</v>
      </c>
      <c r="B12" s="9">
        <v>4</v>
      </c>
      <c r="C12" s="5" t="s">
        <v>255</v>
      </c>
      <c r="D12" s="5" t="s">
        <v>262</v>
      </c>
      <c r="E12" s="5" t="s">
        <v>265</v>
      </c>
    </row>
    <row r="13" ht="42" customHeight="1" spans="1:5" x14ac:dyDescent="0.25">
      <c r="A13" s="5" t="s">
        <v>266</v>
      </c>
      <c r="B13" s="9">
        <v>16</v>
      </c>
      <c r="C13" s="5" t="s">
        <v>255</v>
      </c>
      <c r="D13" s="5" t="s">
        <v>262</v>
      </c>
      <c r="E13" s="5" t="s">
        <v>267</v>
      </c>
    </row>
    <row r="14" ht="42" customHeight="1" spans="1:5" x14ac:dyDescent="0.25">
      <c r="A14" s="5" t="s">
        <v>268</v>
      </c>
      <c r="B14" s="9">
        <v>2</v>
      </c>
      <c r="C14" s="5" t="s">
        <v>269</v>
      </c>
      <c r="D14" s="5" t="s">
        <v>244</v>
      </c>
      <c r="E14" s="5" t="s">
        <v>270</v>
      </c>
    </row>
    <row r="15" ht="42" customHeight="1" spans="1:5" x14ac:dyDescent="0.25">
      <c r="A15" s="5" t="s">
        <v>271</v>
      </c>
      <c r="B15" s="9">
        <f>B5*B6</f>
        <v>256</v>
      </c>
      <c r="C15" s="5" t="s">
        <v>243</v>
      </c>
      <c r="D15" s="5" t="s">
        <v>272</v>
      </c>
      <c r="E15" s="5" t="s">
        <v>273</v>
      </c>
    </row>
    <row r="16" ht="42" customHeight="1" spans="1:5" x14ac:dyDescent="0.25">
      <c r="A16" s="5" t="s">
        <v>274</v>
      </c>
      <c r="B16" s="10">
        <f>B4*B5</f>
        <v>32</v>
      </c>
      <c r="C16" s="5" t="s">
        <v>275</v>
      </c>
      <c r="D16" s="5" t="s">
        <v>272</v>
      </c>
      <c r="E16" s="5" t="s">
        <v>276</v>
      </c>
    </row>
    <row r="17" ht="42" customHeight="1" spans="1:5" x14ac:dyDescent="0.25">
      <c r="A17" s="5" t="s">
        <v>277</v>
      </c>
      <c r="B17" s="11">
        <f>B12*B14*B6/8</f>
        <v>32</v>
      </c>
      <c r="C17" s="5" t="s">
        <v>275</v>
      </c>
      <c r="D17" s="5" t="s">
        <v>272</v>
      </c>
      <c r="E17" s="5" t="s">
        <v>278</v>
      </c>
    </row>
    <row r="18" ht="42" customHeight="1" spans="1:5" x14ac:dyDescent="0.25">
      <c r="A18" s="5" t="s">
        <v>279</v>
      </c>
      <c r="B18" s="11">
        <f>B14*B13*B6/8</f>
        <v>128</v>
      </c>
      <c r="C18" s="5" t="s">
        <v>275</v>
      </c>
      <c r="D18" s="5" t="s">
        <v>272</v>
      </c>
      <c r="E18" s="5" t="s">
        <v>280</v>
      </c>
    </row>
    <row r="19" ht="42" customHeight="1" spans="1:5" x14ac:dyDescent="0.25">
      <c r="A19" s="5" t="s">
        <v>281</v>
      </c>
      <c r="B19" s="11">
        <f>B12*B13*B7/8</f>
        <v>800</v>
      </c>
      <c r="C19" s="5" t="s">
        <v>275</v>
      </c>
      <c r="D19" s="5" t="s">
        <v>272</v>
      </c>
      <c r="E19" s="5" t="s">
        <v>282</v>
      </c>
    </row>
    <row r="20" ht="42" customHeight="1" spans="1:5" x14ac:dyDescent="0.25">
      <c r="A20" s="5" t="s">
        <v>283</v>
      </c>
      <c r="B20" s="11">
        <f>(B17+B18+B19)*B15</f>
        <v>245760</v>
      </c>
      <c r="C20" s="5" t="s">
        <v>275</v>
      </c>
      <c r="D20" s="5" t="s">
        <v>272</v>
      </c>
      <c r="E20" s="5" t="s">
        <v>284</v>
      </c>
    </row>
    <row r="21" ht="42" customHeight="1" spans="1:5" x14ac:dyDescent="0.25">
      <c r="A21" s="5" t="s">
        <v>285</v>
      </c>
      <c r="B21" s="11">
        <f>B9*B11*B6/8</f>
        <v>1024</v>
      </c>
      <c r="C21" s="5" t="s">
        <v>275</v>
      </c>
      <c r="D21" s="5" t="s">
        <v>272</v>
      </c>
      <c r="E21" s="5" t="s">
        <v>286</v>
      </c>
    </row>
    <row r="22" ht="42" customHeight="1" spans="1:5" x14ac:dyDescent="0.25">
      <c r="A22" s="5" t="s">
        <v>287</v>
      </c>
      <c r="B22" s="11">
        <f>B11*B10*B6/8</f>
        <v>1024</v>
      </c>
      <c r="C22" s="5" t="s">
        <v>275</v>
      </c>
      <c r="D22" s="5" t="s">
        <v>272</v>
      </c>
      <c r="E22" s="5" t="s">
        <v>288</v>
      </c>
    </row>
    <row r="23" ht="42" customHeight="1" spans="1:5" x14ac:dyDescent="0.25">
      <c r="A23" s="5" t="s">
        <v>289</v>
      </c>
      <c r="B23" s="11">
        <f>B9*B10*B7/8</f>
        <v>51200</v>
      </c>
      <c r="C23" s="5" t="s">
        <v>275</v>
      </c>
      <c r="D23" s="5" t="s">
        <v>272</v>
      </c>
      <c r="E23" s="5" t="s">
        <v>290</v>
      </c>
    </row>
    <row r="24" ht="42" customHeight="1" spans="1:5" x14ac:dyDescent="0.25">
      <c r="A24" s="5" t="s">
        <v>291</v>
      </c>
      <c r="B24" s="11">
        <f>B21+B22+B23</f>
        <v>53248</v>
      </c>
      <c r="C24" s="5" t="s">
        <v>292</v>
      </c>
      <c r="D24" s="5" t="s">
        <v>272</v>
      </c>
      <c r="E24" s="5" t="s">
        <v>293</v>
      </c>
    </row>
    <row r="25" ht="42" customHeight="1" spans="1:5" x14ac:dyDescent="0.25">
      <c r="A25" s="5" t="s">
        <v>294</v>
      </c>
      <c r="B25" s="11">
        <f>B16*B8*1000000</f>
        <v>2048000000</v>
      </c>
      <c r="C25" s="5" t="s">
        <v>295</v>
      </c>
      <c r="D25" s="5" t="s">
        <v>272</v>
      </c>
      <c r="E25" s="5" t="s">
        <v>296</v>
      </c>
    </row>
    <row r="26" ht="42" customHeight="1" spans="1:5" x14ac:dyDescent="0.25">
      <c r="A26" s="5" t="s">
        <v>297</v>
      </c>
      <c r="B26" s="10">
        <f>B25/1000000000</f>
        <v>2.048</v>
      </c>
      <c r="C26" s="5" t="s">
        <v>275</v>
      </c>
      <c r="D26" s="5" t="s">
        <v>272</v>
      </c>
      <c r="E26" s="5" t="s">
        <v>298</v>
      </c>
    </row>
    <row r="27" ht="42" customHeight="1" spans="1:5" x14ac:dyDescent="0.25">
      <c r="A27" s="5" t="s">
        <v>299</v>
      </c>
      <c r="B27" s="11">
        <f>140*36*1024/8</f>
        <v>645120</v>
      </c>
      <c r="C27" s="5" t="s">
        <v>300</v>
      </c>
      <c r="D27" s="5" t="s">
        <v>272</v>
      </c>
      <c r="E27" s="5" t="s">
        <v>301</v>
      </c>
    </row>
    <row r="28" ht="42" customHeight="1" spans="1:5" x14ac:dyDescent="0.25">
      <c r="A28" s="5" t="s">
        <v>302</v>
      </c>
      <c r="B28" s="12">
        <f>B20/B27*100</f>
        <v>38.0952381</v>
      </c>
      <c r="C28" s="5" t="s">
        <v>255</v>
      </c>
      <c r="D28" s="5" t="s">
        <v>272</v>
      </c>
      <c r="E28" s="5" t="s">
        <v>303</v>
      </c>
    </row>
    <row r="29" ht="42" customHeight="1" spans="1:5" x14ac:dyDescent="0.25">
      <c r="A29" s="5" t="s">
        <v>304</v>
      </c>
      <c r="B29" s="11">
        <f>B12*B13</f>
        <v>64</v>
      </c>
      <c r="C29" s="5" t="s">
        <v>305</v>
      </c>
      <c r="D29" s="5" t="s">
        <v>272</v>
      </c>
      <c r="E29" s="5" t="s">
        <v>306</v>
      </c>
    </row>
    <row r="30" ht="42" customHeight="1" spans="1:5" x14ac:dyDescent="0.25">
      <c r="A30" s="5" t="s">
        <v>307</v>
      </c>
      <c r="B30" s="11">
        <f>ROUNDUP(B11/B14,0)</f>
        <v>2</v>
      </c>
      <c r="C30" s="5" t="s">
        <v>305</v>
      </c>
      <c r="D30" s="5" t="s">
        <v>272</v>
      </c>
      <c r="E30" s="5" t="s">
        <v>308</v>
      </c>
    </row>
    <row r="31" ht="42" customHeight="1" spans="2:2" x14ac:dyDescent="0.25">
      <c r="B31" s="11">
        <f>ROUNDUP(B9/B12,0)*ROUNDUP(B10/B13,0)</f>
        <v>64</v>
      </c>
    </row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$A$3:$E$31"/>
  <mergeCells count="2">
    <mergeCell ref="A1:E1"/>
    <mergeCell ref="A2:E2"/>
  </mergeCells>
  <dataValidations count="2">
    <dataValidation type="decimal" operator="greaterThan" allowBlank="1" sqref="B10:B15">
      <formula1>0</formula1>
    </dataValidation>
    <dataValidation type="decimal" operator="greaterThan" allowBlank="1" sqref="B4:B15">
      <formula1>0</formula1>
    </dataValidation>
  </dataValidations>
  <pageMargins left="0.75" right="0.75" top="1" bottom="1" header="0" footer="0"/>
  <pageSetup orientation="landscape" horizontalDpi="4294967295" verticalDpi="4294967295" scale="100" fitToWidth="1" fitToHeight="0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00"/>
  <sheetViews>
    <sheetView workbookViewId="0" showGridLines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4.43"/>
  <cols>
    <col min="1" max="1" width="22" customWidth="1"/>
    <col min="2" max="2" width="34" customWidth="1"/>
    <col min="3" max="3" width="42" customWidth="1"/>
    <col min="4" max="5" width="40" customWidth="1"/>
    <col min="6" max="6" width="43" customWidth="1"/>
    <col min="7" max="7" width="22" customWidth="1"/>
    <col min="8" max="26" width="8.71" customWidth="1"/>
  </cols>
  <sheetData>
    <row r="1" ht="27.75" customHeight="1" spans="1:7" x14ac:dyDescent="0.25">
      <c r="A1" s="1" t="s">
        <v>309</v>
      </c>
      <c r="B1" s="2"/>
      <c r="C1" s="2"/>
      <c r="D1" s="2"/>
      <c r="E1" s="2"/>
      <c r="F1" s="2"/>
      <c r="G1" s="2"/>
    </row>
    <row r="2" ht="33.75" customHeight="1" spans="1:7" x14ac:dyDescent="0.25">
      <c r="A2" s="3" t="s">
        <v>310</v>
      </c>
      <c r="B2" s="2"/>
      <c r="C2" s="2"/>
      <c r="D2" s="2"/>
      <c r="E2" s="2"/>
      <c r="F2" s="2"/>
      <c r="G2" s="2"/>
    </row>
    <row r="3" ht="31.5" customHeight="1" spans="1:7" x14ac:dyDescent="0.25">
      <c r="A3" s="4" t="s">
        <v>311</v>
      </c>
      <c r="B3" s="4" t="s">
        <v>312</v>
      </c>
      <c r="C3" s="4" t="s">
        <v>313</v>
      </c>
      <c r="D3" s="4" t="s">
        <v>314</v>
      </c>
      <c r="E3" s="4" t="s">
        <v>315</v>
      </c>
      <c r="F3" s="4" t="s">
        <v>316</v>
      </c>
      <c r="G3" s="4" t="s">
        <v>317</v>
      </c>
    </row>
    <row r="4" ht="72" customHeight="1" spans="1:7" x14ac:dyDescent="0.25">
      <c r="A4" s="5" t="s">
        <v>318</v>
      </c>
      <c r="B4" s="5" t="s">
        <v>319</v>
      </c>
      <c r="C4" s="5" t="s">
        <v>320</v>
      </c>
      <c r="D4" s="5" t="s">
        <v>321</v>
      </c>
      <c r="E4" s="5" t="s">
        <v>322</v>
      </c>
      <c r="F4" s="5" t="s">
        <v>323</v>
      </c>
      <c r="G4" s="5" t="s">
        <v>159</v>
      </c>
    </row>
    <row r="5" ht="72" customHeight="1" spans="1:7" x14ac:dyDescent="0.25">
      <c r="A5" s="5" t="s">
        <v>324</v>
      </c>
      <c r="B5" s="5" t="s">
        <v>325</v>
      </c>
      <c r="C5" s="5" t="s">
        <v>326</v>
      </c>
      <c r="D5" s="5" t="s">
        <v>327</v>
      </c>
      <c r="E5" s="5" t="s">
        <v>328</v>
      </c>
      <c r="F5" s="5" t="s">
        <v>329</v>
      </c>
      <c r="G5" s="5" t="s">
        <v>159</v>
      </c>
    </row>
    <row r="6" ht="72" customHeight="1" spans="1:7" x14ac:dyDescent="0.25">
      <c r="A6" s="5" t="s">
        <v>330</v>
      </c>
      <c r="B6" s="5" t="s">
        <v>331</v>
      </c>
      <c r="C6" s="5" t="s">
        <v>332</v>
      </c>
      <c r="D6" s="5" t="s">
        <v>333</v>
      </c>
      <c r="E6" s="5" t="s">
        <v>334</v>
      </c>
      <c r="F6" s="5" t="s">
        <v>335</v>
      </c>
      <c r="G6" s="5" t="s">
        <v>272</v>
      </c>
    </row>
    <row r="7" ht="72" customHeight="1" spans="1:7" x14ac:dyDescent="0.25">
      <c r="A7" s="5" t="s">
        <v>336</v>
      </c>
      <c r="B7" s="5" t="s">
        <v>337</v>
      </c>
      <c r="C7" s="5" t="s">
        <v>338</v>
      </c>
      <c r="D7" s="5" t="s">
        <v>339</v>
      </c>
      <c r="E7" s="5" t="s">
        <v>340</v>
      </c>
      <c r="F7" s="5" t="s">
        <v>341</v>
      </c>
      <c r="G7" s="5" t="s">
        <v>342</v>
      </c>
    </row>
    <row r="8" ht="72" customHeight="1" spans="1:7" x14ac:dyDescent="0.25">
      <c r="A8" s="5" t="s">
        <v>343</v>
      </c>
      <c r="B8" s="5" t="s">
        <v>344</v>
      </c>
      <c r="C8" s="5" t="s">
        <v>345</v>
      </c>
      <c r="D8" s="5" t="s">
        <v>346</v>
      </c>
      <c r="E8" s="5" t="s">
        <v>347</v>
      </c>
      <c r="F8" s="5" t="s">
        <v>348</v>
      </c>
      <c r="G8" s="5" t="s">
        <v>349</v>
      </c>
    </row>
    <row r="9" ht="72" customHeight="1" spans="1:7" x14ac:dyDescent="0.25">
      <c r="A9" s="5" t="s">
        <v>350</v>
      </c>
      <c r="B9" s="5" t="s">
        <v>351</v>
      </c>
      <c r="C9" s="5" t="s">
        <v>352</v>
      </c>
      <c r="D9" s="5" t="s">
        <v>353</v>
      </c>
      <c r="E9" s="5" t="s">
        <v>354</v>
      </c>
      <c r="F9" s="5" t="s">
        <v>355</v>
      </c>
      <c r="G9" s="5" t="s">
        <v>356</v>
      </c>
    </row>
    <row r="10" ht="72" customHeight="1" spans="1:7" x14ac:dyDescent="0.25">
      <c r="A10" s="5" t="s">
        <v>357</v>
      </c>
      <c r="B10" s="5" t="s">
        <v>358</v>
      </c>
      <c r="C10" s="5" t="s">
        <v>359</v>
      </c>
      <c r="D10" s="5" t="s">
        <v>360</v>
      </c>
      <c r="E10" s="5" t="s">
        <v>361</v>
      </c>
      <c r="F10" s="5" t="s">
        <v>362</v>
      </c>
      <c r="G10" s="5" t="s">
        <v>363</v>
      </c>
    </row>
    <row r="11" ht="72" customHeight="1" spans="1:7" x14ac:dyDescent="0.25">
      <c r="A11" s="5" t="s">
        <v>364</v>
      </c>
      <c r="B11" s="5" t="s">
        <v>365</v>
      </c>
      <c r="C11" s="5" t="s">
        <v>366</v>
      </c>
      <c r="D11" s="5" t="s">
        <v>367</v>
      </c>
      <c r="E11" s="5" t="s">
        <v>368</v>
      </c>
      <c r="F11" s="5" t="s">
        <v>369</v>
      </c>
      <c r="G11" s="5" t="s">
        <v>370</v>
      </c>
    </row>
    <row r="12" ht="72" customHeight="1" spans="1:7" x14ac:dyDescent="0.25">
      <c r="A12" s="5" t="s">
        <v>371</v>
      </c>
      <c r="B12" s="5" t="s">
        <v>372</v>
      </c>
      <c r="C12" s="5" t="s">
        <v>373</v>
      </c>
      <c r="D12" s="5" t="s">
        <v>374</v>
      </c>
      <c r="E12" s="5" t="s">
        <v>375</v>
      </c>
      <c r="F12" s="5" t="s">
        <v>376</v>
      </c>
      <c r="G12" s="5" t="s">
        <v>377</v>
      </c>
    </row>
    <row r="13" ht="72" customHeight="1" spans="1:7" x14ac:dyDescent="0.25">
      <c r="A13" s="5" t="s">
        <v>378</v>
      </c>
      <c r="B13" s="5" t="s">
        <v>379</v>
      </c>
      <c r="C13" s="5" t="s">
        <v>380</v>
      </c>
      <c r="D13" s="5" t="s">
        <v>381</v>
      </c>
      <c r="E13" s="5" t="s">
        <v>382</v>
      </c>
      <c r="F13" s="5" t="s">
        <v>383</v>
      </c>
      <c r="G13" s="5" t="s">
        <v>384</v>
      </c>
    </row>
    <row r="14" ht="72" customHeight="1" spans="1:7" x14ac:dyDescent="0.25">
      <c r="A14" s="5" t="s">
        <v>385</v>
      </c>
      <c r="B14" s="5" t="s">
        <v>386</v>
      </c>
      <c r="C14" s="5" t="s">
        <v>387</v>
      </c>
      <c r="D14" s="5" t="s">
        <v>388</v>
      </c>
      <c r="E14" s="5" t="s">
        <v>389</v>
      </c>
      <c r="F14" s="5" t="s">
        <v>390</v>
      </c>
      <c r="G14" s="5" t="s">
        <v>391</v>
      </c>
    </row>
    <row r="15" ht="72" customHeight="1" spans="1:7" x14ac:dyDescent="0.25">
      <c r="A15" s="5" t="s">
        <v>392</v>
      </c>
      <c r="B15" s="5" t="s">
        <v>393</v>
      </c>
      <c r="C15" s="5" t="s">
        <v>394</v>
      </c>
      <c r="D15" s="5" t="s">
        <v>395</v>
      </c>
      <c r="E15" s="5" t="s">
        <v>396</v>
      </c>
      <c r="F15" s="5" t="s">
        <v>397</v>
      </c>
      <c r="G15" s="5" t="s">
        <v>398</v>
      </c>
    </row>
    <row r="16" ht="72" customHeight="1" spans="1:7" x14ac:dyDescent="0.25">
      <c r="A16" s="5" t="s">
        <v>399</v>
      </c>
      <c r="B16" s="5" t="s">
        <v>400</v>
      </c>
      <c r="C16" s="5" t="s">
        <v>401</v>
      </c>
      <c r="D16" s="5" t="s">
        <v>402</v>
      </c>
      <c r="E16" s="5" t="s">
        <v>403</v>
      </c>
      <c r="F16" s="5" t="s">
        <v>404</v>
      </c>
      <c r="G16" s="5" t="s">
        <v>398</v>
      </c>
    </row>
    <row r="17" ht="72" customHeight="1" spans="1:7" x14ac:dyDescent="0.25">
      <c r="A17" s="5" t="s">
        <v>405</v>
      </c>
      <c r="B17" s="5" t="s">
        <v>406</v>
      </c>
      <c r="C17" s="5" t="s">
        <v>407</v>
      </c>
      <c r="D17" s="5" t="s">
        <v>408</v>
      </c>
      <c r="E17" s="5" t="s">
        <v>409</v>
      </c>
      <c r="F17" s="5" t="s">
        <v>410</v>
      </c>
      <c r="G17" s="5" t="s">
        <v>411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$A$3:$G$17"/>
  <mergeCells count="2">
    <mergeCell ref="A1:G1"/>
    <mergeCell ref="A2:G2"/>
  </mergeCells>
  <pageMargins left="0.75" right="0.75" top="1" bottom="1" header="0" footer="0"/>
  <pageSetup orientation="landscape" horizontalDpi="4294967295" verticalDpi="4294967295" scale="100" fitToWidth="1" fitToHeight="0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00"/>
  <sheetViews>
    <sheetView workbookViewId="0" showGridLines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4.43"/>
  <cols>
    <col min="1" max="1" width="10" customWidth="1"/>
    <col min="2" max="2" width="25" customWidth="1"/>
    <col min="3" max="3" width="33" customWidth="1"/>
    <col min="4" max="4" width="45" customWidth="1"/>
    <col min="5" max="5" width="55" customWidth="1"/>
    <col min="6" max="6" width="32" customWidth="1"/>
    <col min="7" max="26" width="8.71" customWidth="1"/>
  </cols>
  <sheetData>
    <row r="1" ht="27.75" customHeight="1" spans="1:6" x14ac:dyDescent="0.25">
      <c r="A1" s="1" t="s">
        <v>412</v>
      </c>
      <c r="B1" s="2"/>
      <c r="C1" s="2"/>
      <c r="D1" s="2"/>
      <c r="E1" s="2"/>
      <c r="F1" s="2"/>
    </row>
    <row r="2" ht="33.75" customHeight="1" spans="1:6" x14ac:dyDescent="0.25">
      <c r="A2" s="3" t="s">
        <v>413</v>
      </c>
      <c r="B2" s="2"/>
      <c r="C2" s="2"/>
      <c r="D2" s="2"/>
      <c r="E2" s="2"/>
      <c r="F2" s="2"/>
    </row>
    <row r="3" ht="31.5" customHeight="1" spans="1:6" x14ac:dyDescent="0.25">
      <c r="A3" s="4" t="s">
        <v>414</v>
      </c>
      <c r="B3" s="4" t="s">
        <v>415</v>
      </c>
      <c r="C3" s="4" t="s">
        <v>416</v>
      </c>
      <c r="D3" s="4" t="s">
        <v>417</v>
      </c>
      <c r="E3" s="4" t="s">
        <v>418</v>
      </c>
      <c r="F3" s="4" t="s">
        <v>419</v>
      </c>
    </row>
    <row r="4" ht="64.5" customHeight="1" spans="1:6" x14ac:dyDescent="0.25">
      <c r="A4" s="5">
        <v>1</v>
      </c>
      <c r="B4" s="5" t="s">
        <v>420</v>
      </c>
      <c r="C4" s="5" t="s">
        <v>421</v>
      </c>
      <c r="D4" s="5" t="s">
        <v>422</v>
      </c>
      <c r="E4" s="5" t="s">
        <v>423</v>
      </c>
      <c r="F4" s="5" t="s">
        <v>424</v>
      </c>
    </row>
    <row r="5" ht="64.5" customHeight="1" spans="1:6" x14ac:dyDescent="0.25">
      <c r="A5" s="5">
        <v>2</v>
      </c>
      <c r="B5" s="5" t="s">
        <v>425</v>
      </c>
      <c r="C5" s="5" t="s">
        <v>426</v>
      </c>
      <c r="D5" s="5" t="s">
        <v>427</v>
      </c>
      <c r="E5" s="5" t="s">
        <v>428</v>
      </c>
      <c r="F5" s="5" t="s">
        <v>429</v>
      </c>
    </row>
    <row r="6" ht="64.5" customHeight="1" spans="1:6" x14ac:dyDescent="0.25">
      <c r="A6" s="5">
        <v>3</v>
      </c>
      <c r="B6" s="5" t="s">
        <v>430</v>
      </c>
      <c r="C6" s="5" t="s">
        <v>431</v>
      </c>
      <c r="D6" s="5" t="s">
        <v>432</v>
      </c>
      <c r="E6" s="5" t="s">
        <v>433</v>
      </c>
      <c r="F6" s="5" t="s">
        <v>434</v>
      </c>
    </row>
    <row r="7" ht="64.5" customHeight="1" spans="1:6" x14ac:dyDescent="0.25">
      <c r="A7" s="5">
        <v>4</v>
      </c>
      <c r="B7" s="5" t="s">
        <v>160</v>
      </c>
      <c r="C7" s="5" t="s">
        <v>435</v>
      </c>
      <c r="D7" s="5" t="s">
        <v>436</v>
      </c>
      <c r="E7" s="5" t="s">
        <v>437</v>
      </c>
      <c r="F7" s="5" t="s">
        <v>438</v>
      </c>
    </row>
    <row r="8" ht="64.5" customHeight="1" spans="1:6" x14ac:dyDescent="0.25">
      <c r="A8" s="5">
        <v>5</v>
      </c>
      <c r="B8" s="5" t="s">
        <v>439</v>
      </c>
      <c r="C8" s="5" t="s">
        <v>440</v>
      </c>
      <c r="D8" s="5" t="s">
        <v>441</v>
      </c>
      <c r="E8" s="5" t="s">
        <v>442</v>
      </c>
      <c r="F8" s="5" t="s">
        <v>443</v>
      </c>
    </row>
    <row r="9" ht="64.5" customHeight="1" spans="1:6" x14ac:dyDescent="0.25">
      <c r="A9" s="5">
        <v>6</v>
      </c>
      <c r="B9" s="5" t="s">
        <v>444</v>
      </c>
      <c r="C9" s="5" t="s">
        <v>445</v>
      </c>
      <c r="D9" s="5" t="s">
        <v>446</v>
      </c>
      <c r="E9" s="5" t="s">
        <v>447</v>
      </c>
      <c r="F9" s="5" t="s">
        <v>448</v>
      </c>
    </row>
    <row r="10" ht="64.5" customHeight="1" spans="1:6" x14ac:dyDescent="0.25">
      <c r="A10" s="5">
        <v>7</v>
      </c>
      <c r="B10" s="5" t="s">
        <v>449</v>
      </c>
      <c r="C10" s="5" t="s">
        <v>450</v>
      </c>
      <c r="D10" s="5" t="s">
        <v>451</v>
      </c>
      <c r="E10" s="5" t="s">
        <v>452</v>
      </c>
      <c r="F10" s="5" t="s">
        <v>453</v>
      </c>
    </row>
    <row r="11" ht="64.5" customHeight="1" spans="1:6" x14ac:dyDescent="0.25">
      <c r="A11" s="5">
        <v>8</v>
      </c>
      <c r="B11" s="5" t="s">
        <v>454</v>
      </c>
      <c r="C11" s="5" t="s">
        <v>455</v>
      </c>
      <c r="D11" s="5" t="s">
        <v>456</v>
      </c>
      <c r="E11" s="5" t="s">
        <v>457</v>
      </c>
      <c r="F11" s="5" t="s">
        <v>429</v>
      </c>
    </row>
    <row r="12" ht="64.5" customHeight="1" spans="1:6" x14ac:dyDescent="0.25">
      <c r="A12" s="5">
        <v>9</v>
      </c>
      <c r="B12" s="5" t="s">
        <v>458</v>
      </c>
      <c r="C12" s="5" t="s">
        <v>459</v>
      </c>
      <c r="D12" s="5" t="s">
        <v>460</v>
      </c>
      <c r="E12" s="5" t="s">
        <v>461</v>
      </c>
      <c r="F12" s="5" t="s">
        <v>462</v>
      </c>
    </row>
    <row r="13" ht="64.5" customHeight="1" spans="1:6" x14ac:dyDescent="0.25">
      <c r="A13" s="5">
        <v>10</v>
      </c>
      <c r="B13" s="5" t="s">
        <v>463</v>
      </c>
      <c r="C13" s="5" t="s">
        <v>464</v>
      </c>
      <c r="D13" s="5" t="s">
        <v>465</v>
      </c>
      <c r="E13" s="5" t="s">
        <v>466</v>
      </c>
      <c r="F13" s="5" t="s">
        <v>467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$A$3:$F$13"/>
  <mergeCells count="2">
    <mergeCell ref="A1:F1"/>
    <mergeCell ref="A2:F2"/>
  </mergeCells>
  <pageMargins left="0.75" right="0.75" top="1" bottom="1" header="0" footer="0"/>
  <pageSetup orientation="landscape" horizontalDpi="4294967295" verticalDpi="4294967295" scale="100" fitToWidth="1" fitToHeight="0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00"/>
  <sheetViews>
    <sheetView workbookViewId="0" showGridLines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4.43"/>
  <cols>
    <col min="1" max="1" width="10" customWidth="1"/>
    <col min="2" max="2" width="43" customWidth="1"/>
    <col min="3" max="3" width="82" customWidth="1"/>
    <col min="4" max="4" width="55" customWidth="1"/>
    <col min="5" max="5" width="65" customWidth="1"/>
    <col min="6" max="26" width="8.71" customWidth="1"/>
  </cols>
  <sheetData>
    <row r="1" ht="27.75" customHeight="1" spans="1:5" x14ac:dyDescent="0.25">
      <c r="A1" s="1" t="s">
        <v>468</v>
      </c>
      <c r="B1" s="2"/>
      <c r="C1" s="2"/>
      <c r="D1" s="2"/>
      <c r="E1" s="2"/>
    </row>
    <row r="2" ht="33.75" customHeight="1" spans="1:5" x14ac:dyDescent="0.25">
      <c r="A2" s="3" t="s">
        <v>469</v>
      </c>
      <c r="B2" s="2"/>
      <c r="C2" s="2"/>
      <c r="D2" s="2"/>
      <c r="E2" s="2"/>
    </row>
    <row r="3" ht="31.5" customHeight="1" spans="1:5" x14ac:dyDescent="0.25">
      <c r="A3" s="4" t="s">
        <v>470</v>
      </c>
      <c r="B3" s="4" t="s">
        <v>471</v>
      </c>
      <c r="C3" s="4" t="s">
        <v>472</v>
      </c>
      <c r="D3" s="4" t="s">
        <v>473</v>
      </c>
      <c r="E3" s="4" t="s">
        <v>474</v>
      </c>
    </row>
    <row r="4" ht="67.5" customHeight="1" spans="1:5" x14ac:dyDescent="0.25">
      <c r="A4" s="5" t="s">
        <v>475</v>
      </c>
      <c r="B4" s="5" t="s">
        <v>476</v>
      </c>
      <c r="C4" s="13" t="s">
        <v>477</v>
      </c>
      <c r="D4" s="5" t="s">
        <v>478</v>
      </c>
      <c r="E4" s="5" t="s">
        <v>479</v>
      </c>
    </row>
    <row r="5" ht="67.5" customHeight="1" spans="1:5" x14ac:dyDescent="0.25">
      <c r="A5" s="5" t="s">
        <v>480</v>
      </c>
      <c r="B5" s="5" t="s">
        <v>481</v>
      </c>
      <c r="C5" s="13" t="s">
        <v>482</v>
      </c>
      <c r="D5" s="5" t="s">
        <v>483</v>
      </c>
      <c r="E5" s="5" t="s">
        <v>484</v>
      </c>
    </row>
    <row r="6" ht="67.5" customHeight="1" spans="1:5" x14ac:dyDescent="0.25">
      <c r="A6" s="5" t="s">
        <v>485</v>
      </c>
      <c r="B6" s="5" t="s">
        <v>486</v>
      </c>
      <c r="C6" s="13" t="s">
        <v>487</v>
      </c>
      <c r="D6" s="5" t="s">
        <v>488</v>
      </c>
      <c r="E6" s="5" t="s">
        <v>489</v>
      </c>
    </row>
    <row r="7" ht="67.5" customHeight="1" spans="1:5" x14ac:dyDescent="0.25">
      <c r="A7" s="5" t="s">
        <v>490</v>
      </c>
      <c r="B7" s="5" t="s">
        <v>491</v>
      </c>
      <c r="C7" s="13" t="s">
        <v>492</v>
      </c>
      <c r="D7" s="5" t="s">
        <v>493</v>
      </c>
      <c r="E7" s="5" t="s">
        <v>494</v>
      </c>
    </row>
    <row r="8" ht="67.5" customHeight="1" spans="1:5" x14ac:dyDescent="0.25">
      <c r="A8" s="5" t="s">
        <v>495</v>
      </c>
      <c r="B8" s="5" t="s">
        <v>496</v>
      </c>
      <c r="C8" s="13" t="s">
        <v>497</v>
      </c>
      <c r="D8" s="5" t="s">
        <v>498</v>
      </c>
      <c r="E8" s="5" t="s">
        <v>499</v>
      </c>
    </row>
    <row r="9" ht="67.5" customHeight="1" spans="1:5" x14ac:dyDescent="0.25">
      <c r="A9" s="5" t="s">
        <v>500</v>
      </c>
      <c r="B9" s="5" t="s">
        <v>501</v>
      </c>
      <c r="C9" s="5" t="s">
        <v>502</v>
      </c>
      <c r="D9" s="5" t="s">
        <v>503</v>
      </c>
      <c r="E9" s="5" t="s">
        <v>504</v>
      </c>
    </row>
    <row r="10" ht="67.5" customHeight="1" spans="1:5" x14ac:dyDescent="0.25">
      <c r="A10" s="5" t="s">
        <v>505</v>
      </c>
      <c r="B10" s="5" t="s">
        <v>506</v>
      </c>
      <c r="C10" s="5" t="s">
        <v>272</v>
      </c>
      <c r="D10" s="5" t="s">
        <v>507</v>
      </c>
      <c r="E10" s="5" t="s">
        <v>508</v>
      </c>
    </row>
    <row r="11" ht="67.5" customHeight="1" spans="1:5" x14ac:dyDescent="0.25">
      <c r="A11" s="5" t="s">
        <v>509</v>
      </c>
      <c r="B11" s="5" t="s">
        <v>510</v>
      </c>
      <c r="C11" s="5" t="s">
        <v>272</v>
      </c>
      <c r="D11" s="5" t="s">
        <v>511</v>
      </c>
      <c r="E11" s="5" t="s">
        <v>512</v>
      </c>
    </row>
    <row r="12" ht="67.5" customHeight="1" spans="1:5" x14ac:dyDescent="0.25">
      <c r="A12" s="5" t="s">
        <v>513</v>
      </c>
      <c r="B12" s="5" t="s">
        <v>514</v>
      </c>
      <c r="C12" s="5" t="s">
        <v>515</v>
      </c>
      <c r="D12" s="5" t="s">
        <v>516</v>
      </c>
      <c r="E12" s="5" t="s">
        <v>517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$A$3:$E$12"/>
  <mergeCells count="2">
    <mergeCell ref="A1:E1"/>
    <mergeCell ref="A2:E2"/>
  </mergeCells>
  <hyperlinks>
    <hyperlink ref="C4" r:id="rId1"/>
    <hyperlink ref="C5" r:id="rId2"/>
    <hyperlink ref="C6" r:id="rId3"/>
    <hyperlink ref="C7" r:id="rId4"/>
    <hyperlink ref="C8" r:id="rId5"/>
  </hyperlinks>
  <pageMargins left="0.75" right="0.75" top="1" bottom="1" header="0" footer="0"/>
  <pageSetup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Board Inventory</vt:lpstr>
      <vt:lpstr>Interface Options</vt:lpstr>
      <vt:lpstr>WS Array Calculator</vt:lpstr>
      <vt:lpstr>Precision &amp; Tiling</vt:lpstr>
      <vt:lpstr>Data Movement</vt:lpstr>
      <vt:lpstr>Sources &amp; 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2026-10-15T13:49:59Z</dcterms:created>
  <dcterms:modified xsi:type="dcterms:W3CDTF">2026-10-15T13:49:59Z</dcterms:modified>
</cp:coreProperties>
</file>